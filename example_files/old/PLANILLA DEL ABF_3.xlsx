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" state="visible" r:id="rId5"/>
  </sheets>
  <calcPr calcId="171027"/>
</workbook>
</file>

<file path=xl/sharedStrings.xml><?xml version="1.0" encoding="utf-8"?>
<sst xmlns="http://schemas.openxmlformats.org/spreadsheetml/2006/main" count="154" uniqueCount="66">
  <si>
    <t>index</t>
  </si>
  <si>
    <t>sheet</t>
  </si>
  <si>
    <t>length</t>
  </si>
  <si>
    <t>width</t>
  </si>
  <si>
    <t>cutting-length</t>
  </si>
  <si>
    <t>cutting-width</t>
  </si>
  <si>
    <t>thickness</t>
  </si>
  <si>
    <t>grain</t>
  </si>
  <si>
    <t>material</t>
  </si>
  <si>
    <t>Code N.1</t>
  </si>
  <si>
    <t>Code N.2</t>
  </si>
  <si>
    <t>Code N.3</t>
  </si>
  <si>
    <t>label</t>
  </si>
  <si>
    <t>top</t>
  </si>
  <si>
    <t>right</t>
  </si>
  <si>
    <t>bot</t>
  </si>
  <si>
    <t>left</t>
  </si>
  <si>
    <t>_top_</t>
  </si>
  <si>
    <t>_right_</t>
  </si>
  <si>
    <t>_bot_</t>
  </si>
  <si>
    <t>_left_</t>
  </si>
  <si>
    <t/>
  </si>
  <si>
    <t>2 - 0.45mm</t>
  </si>
  <si>
    <t>1</t>
  </si>
  <si>
    <t>BLANCO 18</t>
  </si>
  <si>
    <t>CAST-BP-01</t>
  </si>
  <si>
    <t>˄</t>
  </si>
  <si>
    <t>˃</t>
  </si>
  <si>
    <t>CAST-BP-02</t>
  </si>
  <si>
    <t>˅</t>
  </si>
  <si>
    <t>CAST-BP-03</t>
  </si>
  <si>
    <t>CAST-BP-04</t>
  </si>
  <si>
    <t>˂</t>
  </si>
  <si>
    <t>CAST-BP-05</t>
  </si>
  <si>
    <t>CAST-BP-07</t>
  </si>
  <si>
    <t>CAST-BP-08</t>
  </si>
  <si>
    <t>FIBRO 3</t>
  </si>
  <si>
    <t>CAST-BP-06</t>
  </si>
  <si>
    <t>TITULO</t>
  </si>
  <si>
    <t>amoblamientos.moodi</t>
  </si>
  <si>
    <t>Orden de trabajo: Untitled</t>
  </si>
  <si>
    <t xml:space="preserve">Código de orden: </t>
  </si>
  <si>
    <t xml:space="preserve">Dirección: </t>
  </si>
  <si>
    <t xml:space="preserve">Cliente: </t>
  </si>
  <si>
    <t>Fecha: 6/8/2023</t>
  </si>
  <si>
    <t xml:space="preserve">Línea directa: </t>
  </si>
  <si>
    <t>Email: amoblamientos.moodi@gmail.com</t>
  </si>
  <si>
    <t xml:space="preserve">Numero de telefono: </t>
  </si>
  <si>
    <t>No.</t>
  </si>
  <si>
    <t>Tipo</t>
  </si>
  <si>
    <t>Descripción</t>
  </si>
  <si>
    <t>Cantidad</t>
  </si>
  <si>
    <t>Unidad</t>
  </si>
  <si>
    <t>Precio Unitario</t>
  </si>
  <si>
    <t>Factor</t>
  </si>
  <si>
    <t>Cantidad Total</t>
  </si>
  <si>
    <t>CONECTOR</t>
  </si>
  <si>
    <t>INTERSECCIÓN</t>
  </si>
  <si>
    <t>TAPACANTO</t>
  </si>
  <si>
    <t>0.45mm</t>
  </si>
  <si>
    <t>Metros</t>
  </si>
  <si>
    <t>PLANCHA</t>
  </si>
  <si>
    <t>18mm</t>
  </si>
  <si>
    <t>Plancha</t>
  </si>
  <si>
    <t>7mm</t>
  </si>
  <si>
    <t>OTROS 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</si>
</sst>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i/>
      <sz val="1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08789"/>
      </patternFill>
    </fill>
    <fill>
      <patternFill patternType="solid">
        <fgColor rgb="FFF2F2F2"/>
      </patternFill>
    </fill>
    <fill>
      <patternFill patternType="solid">
        <fgColor rgb="FF00CB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/>
    <xf numFmtId="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4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0" borderId="0" xfId="0" applyFont="1"/>
    <xf numFmtId="0" fontId="3" fillId="4" borderId="0" xfId="0" applyFont="1" applyFill="1" applyAlignment="1">
      <alignment horizontal="left"/>
    </xf>
    <xf numFmtId="0" fontId="3" fillId="4" borderId="0" xfId="0" applyFont="1" applyFill="1"/>
    <xf numFmtId="4" fontId="3" fillId="4" borderId="0" xfId="0" applyNumberFormat="1" applyFont="1" applyFill="1" applyAlignment="1">
      <alignment horizontal="right"/>
    </xf>
    <xf numFmtId="0" fontId="0" fillId="3" borderId="0" xfId="0" applyFill="1" applyAlignment="1">
      <alignment horizontal="left"/>
    </xf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www.facebook.com/abfurnituresolution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771525" cy="733425"/>
    <xdr:pic>
      <xdr:nvPicPr>
        <xdr:cNvPr id="1" name="Picture 1">
          <a:hlinkClick xmlns:r="http://schemas.openxmlformats.org/officeDocument/2006/relationships" r:id="rId2" tooltip="ABF solutions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FormatPr defaultRowHeight="15" outlineLevelRow="0" outlineLevelCol="0" x14ac:dyDescent="55"/>
  <sheetData>
    <row r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>
        <v>2</v>
      </c>
      <c r="B2">
        <v>1</v>
      </c>
      <c r="C2">
        <v>686</v>
      </c>
      <c r="D2">
        <v>535</v>
      </c>
      <c r="E2">
        <v>685.6</v>
      </c>
      <c r="F2">
        <v>534.6</v>
      </c>
      <c r="G2">
        <v>18</v>
      </c>
      <c r="H2" t="s">
        <v>23</v>
      </c>
      <c r="I2" t="s">
        <v>24</v>
      </c>
      <c r="M2" t="s">
        <v>25</v>
      </c>
      <c r="N2" t="s">
        <v>26</v>
      </c>
      <c r="O2" t="s">
        <v>27</v>
      </c>
      <c r="P2" t="s">
        <v>21</v>
      </c>
      <c r="Q2" t="s">
        <v>21</v>
      </c>
      <c r="R2" t="s">
        <v>22</v>
      </c>
      <c r="S2" t="s">
        <v>22</v>
      </c>
      <c r="T2" t="s">
        <v>21</v>
      </c>
      <c r="U2" t="s">
        <v>21</v>
      </c>
      <c r="V2" t="s">
        <v>21</v>
      </c>
      <c r="W2">
        <v>1.221</v>
      </c>
    </row>
    <row r="3" spans="1:23" x14ac:dyDescent="0.25">
      <c r="A3" s="3">
        <v>3</v>
      </c>
      <c r="B3" s="3">
        <v>1</v>
      </c>
      <c r="C3" s="3">
        <v>686</v>
      </c>
      <c r="D3" s="3">
        <v>535</v>
      </c>
      <c r="E3" s="3">
        <v>685.6</v>
      </c>
      <c r="F3" s="3">
        <v>534.6</v>
      </c>
      <c r="G3" s="3">
        <v>18</v>
      </c>
      <c r="H3" s="3" t="s">
        <v>23</v>
      </c>
      <c r="I3" s="3" t="s">
        <v>24</v>
      </c>
      <c r="J3" s="3"/>
      <c r="K3" s="3"/>
      <c r="L3" s="3"/>
      <c r="M3" s="3" t="s">
        <v>28</v>
      </c>
      <c r="N3" s="3" t="s">
        <v>21</v>
      </c>
      <c r="O3" s="3" t="s">
        <v>27</v>
      </c>
      <c r="P3" s="3" t="s">
        <v>29</v>
      </c>
      <c r="Q3" s="3" t="s">
        <v>21</v>
      </c>
      <c r="R3" s="3" t="s">
        <v>21</v>
      </c>
      <c r="S3" s="3" t="s">
        <v>22</v>
      </c>
      <c r="T3" s="3" t="s">
        <v>22</v>
      </c>
      <c r="U3" s="3" t="s">
        <v>21</v>
      </c>
      <c r="V3" s="3" t="s">
        <v>21</v>
      </c>
      <c r="W3" s="3">
        <v>1.221</v>
      </c>
    </row>
    <row r="4" spans="1:23" x14ac:dyDescent="0.25">
      <c r="A4">
        <v>4</v>
      </c>
      <c r="B4">
        <v>1</v>
      </c>
      <c r="C4">
        <v>864</v>
      </c>
      <c r="D4">
        <v>80</v>
      </c>
      <c r="E4">
        <v>864</v>
      </c>
      <c r="F4">
        <v>79.1</v>
      </c>
      <c r="G4">
        <v>18</v>
      </c>
      <c r="H4" t="s">
        <v>23</v>
      </c>
      <c r="I4" t="s">
        <v>24</v>
      </c>
      <c r="M4" t="s">
        <v>30</v>
      </c>
      <c r="N4" t="s">
        <v>26</v>
      </c>
      <c r="O4" t="s">
        <v>21</v>
      </c>
      <c r="P4" t="s">
        <v>29</v>
      </c>
      <c r="Q4" t="s">
        <v>21</v>
      </c>
      <c r="R4" t="s">
        <v>22</v>
      </c>
      <c r="S4" t="s">
        <v>21</v>
      </c>
      <c r="T4" t="s">
        <v>22</v>
      </c>
      <c r="U4" t="s">
        <v>21</v>
      </c>
      <c r="V4" t="s">
        <v>21</v>
      </c>
      <c r="W4">
        <v>1.728</v>
      </c>
    </row>
    <row r="5" spans="1:23" x14ac:dyDescent="0.25">
      <c r="A5" s="3">
        <v>5</v>
      </c>
      <c r="B5" s="3">
        <v>1</v>
      </c>
      <c r="C5" s="3">
        <v>894</v>
      </c>
      <c r="D5" s="3">
        <v>340</v>
      </c>
      <c r="E5" s="3">
        <v>893.1</v>
      </c>
      <c r="F5" s="3">
        <v>339.1</v>
      </c>
      <c r="G5" s="3">
        <v>18</v>
      </c>
      <c r="H5" s="3" t="s">
        <v>23</v>
      </c>
      <c r="I5" s="3" t="s">
        <v>24</v>
      </c>
      <c r="J5" s="3"/>
      <c r="K5" s="3"/>
      <c r="L5" s="3"/>
      <c r="M5" s="3" t="s">
        <v>31</v>
      </c>
      <c r="N5" s="3" t="s">
        <v>26</v>
      </c>
      <c r="O5" s="3" t="s">
        <v>27</v>
      </c>
      <c r="P5" s="3" t="s">
        <v>29</v>
      </c>
      <c r="Q5" s="3" t="s">
        <v>32</v>
      </c>
      <c r="R5" s="3" t="s">
        <v>22</v>
      </c>
      <c r="S5" s="3" t="s">
        <v>22</v>
      </c>
      <c r="T5" s="3" t="s">
        <v>22</v>
      </c>
      <c r="U5" s="3" t="s">
        <v>22</v>
      </c>
      <c r="V5" s="3" t="s">
        <v>21</v>
      </c>
      <c r="W5" s="3">
        <v>2.468</v>
      </c>
    </row>
    <row r="6" spans="1:23" x14ac:dyDescent="0.25">
      <c r="A6">
        <v>6</v>
      </c>
      <c r="B6">
        <v>1</v>
      </c>
      <c r="C6">
        <v>894</v>
      </c>
      <c r="D6">
        <v>352</v>
      </c>
      <c r="E6">
        <v>893.1</v>
      </c>
      <c r="F6">
        <v>351.1</v>
      </c>
      <c r="G6">
        <v>18</v>
      </c>
      <c r="H6" t="s">
        <v>23</v>
      </c>
      <c r="I6" t="s">
        <v>24</v>
      </c>
      <c r="M6" t="s">
        <v>33</v>
      </c>
      <c r="N6" t="s">
        <v>26</v>
      </c>
      <c r="O6" t="s">
        <v>27</v>
      </c>
      <c r="P6" t="s">
        <v>29</v>
      </c>
      <c r="Q6" t="s">
        <v>32</v>
      </c>
      <c r="R6" t="s">
        <v>22</v>
      </c>
      <c r="S6" t="s">
        <v>22</v>
      </c>
      <c r="T6" t="s">
        <v>22</v>
      </c>
      <c r="U6" t="s">
        <v>22</v>
      </c>
      <c r="V6" t="s">
        <v>21</v>
      </c>
      <c r="W6">
        <v>2.492</v>
      </c>
    </row>
    <row r="7" spans="1:23" x14ac:dyDescent="0.25">
      <c r="A7" s="3">
        <v>8</v>
      </c>
      <c r="B7" s="3">
        <v>1</v>
      </c>
      <c r="C7" s="3">
        <v>864</v>
      </c>
      <c r="D7" s="3">
        <v>80</v>
      </c>
      <c r="E7" s="3">
        <v>864</v>
      </c>
      <c r="F7" s="3">
        <v>79.1</v>
      </c>
      <c r="G7" s="3">
        <v>18</v>
      </c>
      <c r="H7" s="3" t="s">
        <v>23</v>
      </c>
      <c r="I7" s="3" t="s">
        <v>24</v>
      </c>
      <c r="J7" s="3"/>
      <c r="K7" s="3"/>
      <c r="L7" s="3"/>
      <c r="M7" s="3" t="s">
        <v>34</v>
      </c>
      <c r="N7" s="3" t="s">
        <v>26</v>
      </c>
      <c r="O7" s="3" t="s">
        <v>21</v>
      </c>
      <c r="P7" s="3" t="s">
        <v>29</v>
      </c>
      <c r="Q7" s="3" t="s">
        <v>21</v>
      </c>
      <c r="R7" s="3" t="s">
        <v>22</v>
      </c>
      <c r="S7" s="3" t="s">
        <v>21</v>
      </c>
      <c r="T7" s="3" t="s">
        <v>22</v>
      </c>
      <c r="U7" s="3" t="s">
        <v>21</v>
      </c>
      <c r="V7" s="3" t="s">
        <v>21</v>
      </c>
      <c r="W7" s="3">
        <v>1.728</v>
      </c>
    </row>
    <row r="8" spans="1:23" x14ac:dyDescent="0.25">
      <c r="A8">
        <v>1</v>
      </c>
      <c r="B8">
        <v>1</v>
      </c>
      <c r="C8">
        <v>900</v>
      </c>
      <c r="D8">
        <v>535</v>
      </c>
      <c r="E8">
        <v>900</v>
      </c>
      <c r="F8">
        <v>535</v>
      </c>
      <c r="G8">
        <v>18</v>
      </c>
      <c r="H8" t="s">
        <v>23</v>
      </c>
      <c r="I8" t="s">
        <v>24</v>
      </c>
      <c r="M8" t="s">
        <v>35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  <c r="V8" t="s">
        <v>21</v>
      </c>
      <c r="W8">
        <v>0</v>
      </c>
    </row>
    <row r="9" spans="1:23" x14ac:dyDescent="0.25">
      <c r="A9" s="3">
        <v>7</v>
      </c>
      <c r="B9" s="3">
        <v>2</v>
      </c>
      <c r="C9" s="3">
        <v>900</v>
      </c>
      <c r="D9" s="3">
        <v>681.8</v>
      </c>
      <c r="E9" s="3">
        <v>900</v>
      </c>
      <c r="F9" s="3">
        <v>681.8</v>
      </c>
      <c r="G9" s="3">
        <v>7</v>
      </c>
      <c r="H9" s="3" t="s">
        <v>23</v>
      </c>
      <c r="I9" s="3" t="s">
        <v>36</v>
      </c>
      <c r="J9" s="3"/>
      <c r="K9" s="3"/>
      <c r="L9" s="3"/>
      <c r="M9" s="3" t="s">
        <v>37</v>
      </c>
      <c r="N9" s="3" t="s">
        <v>21</v>
      </c>
      <c r="O9" s="3" t="s">
        <v>21</v>
      </c>
      <c r="P9" s="3" t="s">
        <v>21</v>
      </c>
      <c r="Q9" s="3" t="s">
        <v>21</v>
      </c>
      <c r="R9" s="3" t="s">
        <v>21</v>
      </c>
      <c r="S9" s="3" t="s">
        <v>21</v>
      </c>
      <c r="T9" s="3" t="s">
        <v>21</v>
      </c>
      <c r="U9" s="3" t="s">
        <v>21</v>
      </c>
      <c r="V9" s="3" t="s">
        <v>21</v>
      </c>
      <c r="W9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6" style="4" customWidth="1"/>
    <col min="2" max="2" width="16" customWidth="1"/>
    <col min="3" max="3" width="32" customWidth="1"/>
    <col min="4" max="5" width="12" style="4" customWidth="1"/>
    <col min="6" max="6" width="16" style="5" customWidth="1"/>
    <col min="7" max="7" width="8" style="6" customWidth="1"/>
    <col min="8" max="8" width="16" style="5" customWidth="1"/>
    <col min="9" max="9" width="20" style="5" customWidth="1"/>
  </cols>
  <sheetData>
    <row r="1" spans="1:9" x14ac:dyDescent="0.25">
      <c r="A1" s="4"/>
      <c r="B1" s="4"/>
      <c r="D1"/>
      <c r="E1" s="7" t="s">
        <v>38</v>
      </c>
      <c r="F1" s="7"/>
      <c r="G1" s="7"/>
      <c r="H1" s="5"/>
      <c r="I1" s="5"/>
    </row>
    <row r="2" spans="1:9" x14ac:dyDescent="0.25">
      <c r="A2" s="4"/>
      <c r="B2" s="4"/>
      <c r="C2" t="s">
        <v>39</v>
      </c>
      <c r="D2"/>
      <c r="E2" t="s">
        <v>40</v>
      </c>
      <c r="F2"/>
      <c r="G2"/>
      <c r="H2" s="8" t="s">
        <v>41</v>
      </c>
      <c r="I2" s="8"/>
    </row>
    <row r="3" spans="1:9" x14ac:dyDescent="0.25">
      <c r="A3" s="4"/>
      <c r="B3" s="4"/>
      <c r="C3" t="s">
        <v>42</v>
      </c>
      <c r="D3"/>
      <c r="E3" t="s">
        <v>43</v>
      </c>
      <c r="F3"/>
      <c r="G3"/>
      <c r="H3" s="8" t="s">
        <v>44</v>
      </c>
      <c r="I3" s="8"/>
    </row>
    <row r="4" spans="1:9" x14ac:dyDescent="0.25">
      <c r="A4" s="4"/>
      <c r="B4" s="4"/>
      <c r="C4" t="s">
        <v>45</v>
      </c>
      <c r="D4"/>
      <c r="E4" t="s">
        <v>42</v>
      </c>
      <c r="F4"/>
      <c r="G4"/>
      <c r="H4" s="5"/>
      <c r="I4" s="5"/>
    </row>
    <row r="5" spans="1:9" x14ac:dyDescent="0.25">
      <c r="A5" s="4"/>
      <c r="B5" s="4"/>
      <c r="C5" t="s">
        <v>46</v>
      </c>
      <c r="D5"/>
      <c r="E5" t="s">
        <v>47</v>
      </c>
      <c r="F5"/>
      <c r="G5"/>
      <c r="H5" s="5"/>
      <c r="I5" s="5"/>
    </row>
    <row r="6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spans="1:9" s="1" customFormat="1" x14ac:dyDescent="0.25">
      <c r="A7" s="9" t="s">
        <v>48</v>
      </c>
      <c r="B7" s="2" t="s">
        <v>49</v>
      </c>
      <c r="C7" s="2" t="s">
        <v>50</v>
      </c>
      <c r="D7" s="9" t="s">
        <v>51</v>
      </c>
      <c r="E7" s="2" t="s">
        <v>52</v>
      </c>
      <c r="F7" s="10" t="s">
        <v>53</v>
      </c>
      <c r="G7" s="11" t="s">
        <v>54</v>
      </c>
      <c r="H7" s="10" t="s">
        <v>51</v>
      </c>
      <c r="I7" s="10" t="s">
        <v>55</v>
      </c>
    </row>
    <row r="8" spans="1:9" s="12" customFormat="1" x14ac:dyDescent="0.25">
      <c r="A8" s="13"/>
      <c r="B8" s="14" t="s">
        <v>56</v>
      </c>
      <c r="C8" s="14"/>
      <c r="D8" s="14"/>
      <c r="E8" s="14"/>
      <c r="F8" s="14"/>
      <c r="G8" s="14"/>
      <c r="H8" s="14"/>
      <c r="I8" s="15"/>
    </row>
    <row r="9" spans="1:9" s="12" customFormat="1" x14ac:dyDescent="0.25">
      <c r="A9" s="13"/>
      <c r="B9" s="14" t="s">
        <v>57</v>
      </c>
      <c r="C9" s="14"/>
      <c r="D9" s="14"/>
      <c r="E9" s="14"/>
      <c r="F9" s="14"/>
      <c r="G9" s="14"/>
      <c r="H9" s="14"/>
      <c r="I9" s="15"/>
    </row>
    <row r="10" spans="1:9" s="12" customFormat="1" x14ac:dyDescent="0.25">
      <c r="A10" s="13"/>
      <c r="B10" s="14" t="s">
        <v>58</v>
      </c>
      <c r="C10" s="14"/>
      <c r="D10" s="14"/>
      <c r="E10" s="14"/>
      <c r="F10" s="14"/>
      <c r="G10" s="14"/>
      <c r="H10" s="14"/>
      <c r="I10" s="15">
        <f>SUM(H11:H11)</f>
      </c>
    </row>
    <row r="11" spans="1:8" x14ac:dyDescent="0.25">
      <c r="A11" s="4">
        <v>1</v>
      </c>
      <c r="B11" t="s">
        <v>59</v>
      </c>
      <c r="C11" t="s">
        <v>22</v>
      </c>
      <c r="D11" s="4">
        <v>10.858</v>
      </c>
      <c r="E11" t="s">
        <v>60</v>
      </c>
      <c r="F11" s="5">
        <v>0</v>
      </c>
      <c r="G11" s="6">
        <v>1</v>
      </c>
      <c r="H11" s="5">
        <f>PRODUCT(D11,F11,G11)</f>
      </c>
    </row>
    <row r="12" spans="1:9" s="12" customFormat="1" x14ac:dyDescent="0.25">
      <c r="A12" s="13"/>
      <c r="B12" s="14" t="s">
        <v>61</v>
      </c>
      <c r="C12" s="14"/>
      <c r="D12" s="14"/>
      <c r="E12" s="14"/>
      <c r="F12" s="14"/>
      <c r="G12" s="14"/>
      <c r="H12" s="14"/>
      <c r="I12" s="15">
        <f>SUM(H13:H14)</f>
      </c>
    </row>
    <row r="13" spans="1:8" x14ac:dyDescent="0.25">
      <c r="A13" s="4">
        <v>1</v>
      </c>
      <c r="B13" t="s">
        <v>62</v>
      </c>
      <c r="C13" t="s">
        <v>24</v>
      </c>
      <c r="D13" s="4">
        <v>1</v>
      </c>
      <c r="E13" t="s">
        <v>63</v>
      </c>
      <c r="F13" s="5">
        <v>0</v>
      </c>
      <c r="G13" s="6">
        <v>1</v>
      </c>
      <c r="H13" s="5">
        <f>PRODUCT(D13,F13,G13)</f>
      </c>
    </row>
    <row r="14" spans="1:9" x14ac:dyDescent="0.25">
      <c r="A14" s="16">
        <v>2</v>
      </c>
      <c r="B14" s="3" t="s">
        <v>64</v>
      </c>
      <c r="C14" s="3" t="s">
        <v>36</v>
      </c>
      <c r="D14" s="16">
        <v>1</v>
      </c>
      <c r="E14" s="3" t="s">
        <v>63</v>
      </c>
      <c r="F14" s="17">
        <v>0</v>
      </c>
      <c r="G14" s="18">
        <v>1</v>
      </c>
      <c r="H14" s="17">
        <f>PRODUCT(D14,F14,G14)</f>
      </c>
      <c r="I14" s="17"/>
    </row>
    <row r="15" spans="1:9" s="12" customFormat="1" x14ac:dyDescent="0.25">
      <c r="A15" s="13"/>
      <c r="B15" s="14" t="s">
        <v>65</v>
      </c>
      <c r="C15" s="14"/>
      <c r="D15" s="14"/>
      <c r="E15" s="14"/>
      <c r="F15" s="14"/>
      <c r="G15" s="14"/>
      <c r="H15" s="14"/>
      <c r="I15" s="15"/>
    </row>
    <row r="16" spans="1:9" s="1" customFormat="1" x14ac:dyDescent="0.25">
      <c r="A16" s="9"/>
      <c r="B16" s="2" t="s">
        <v>65</v>
      </c>
      <c r="C16" s="2"/>
      <c r="D16" s="9"/>
      <c r="E16" s="2"/>
      <c r="F16" s="10"/>
      <c r="G16" s="11"/>
      <c r="H16" s="10"/>
      <c r="I16" s="10">
        <f>SUM(I8,I9,I10,I12)</f>
      </c>
    </row>
  </sheetData>
  <mergeCells count="26">
    <mergeCell ref="A1:B1"/>
    <mergeCell ref="C1:D1"/>
    <mergeCell ref="E1:G1"/>
    <mergeCell ref="H1:I1"/>
    <mergeCell ref="A2:B2"/>
    <mergeCell ref="C2:D2"/>
    <mergeCell ref="E2:G2"/>
    <mergeCell ref="H2:I2"/>
    <mergeCell ref="A3:B3"/>
    <mergeCell ref="C3:D3"/>
    <mergeCell ref="E3:G3"/>
    <mergeCell ref="H3:I3"/>
    <mergeCell ref="A4:B4"/>
    <mergeCell ref="C4:D4"/>
    <mergeCell ref="E4:G4"/>
    <mergeCell ref="H4:I4"/>
    <mergeCell ref="A5:B5"/>
    <mergeCell ref="C5:D5"/>
    <mergeCell ref="E5:G5"/>
    <mergeCell ref="H5:I5"/>
    <mergeCell ref="A6:I6"/>
    <mergeCell ref="B8:H8"/>
    <mergeCell ref="B9:H9"/>
    <mergeCell ref="B10:H10"/>
    <mergeCell ref="B12:H12"/>
    <mergeCell ref="B15:H1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2023-06-08T22:54:58Z</dcterms:created>
  <dcterms:modified xsi:type="dcterms:W3CDTF">2023-06-08T22:54:58Z</dcterms:modified>
</cp:coreProperties>
</file>