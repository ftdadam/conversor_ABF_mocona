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_rels/sheet2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2"/>
    <sheet name="Sum" sheetId="2" state="visible" r:id="rId3"/>
    <sheet name="Hoja3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<sst xmlns="http://schemas.openxmlformats.org/spreadsheetml/2006/main" count="324" uniqueCount="108">
  <si>
    <t xml:space="preserve">index</t>
  </si>
  <si>
    <t xml:space="preserve">sheet</t>
  </si>
  <si>
    <t xml:space="preserve">length</t>
  </si>
  <si>
    <t xml:space="preserve">width</t>
  </si>
  <si>
    <t xml:space="preserve">cutting-length</t>
  </si>
  <si>
    <t xml:space="preserve">cutting-width</t>
  </si>
  <si>
    <t xml:space="preserve">thickness</t>
  </si>
  <si>
    <t xml:space="preserve">grain</t>
  </si>
  <si>
    <t xml:space="preserve">material</t>
  </si>
  <si>
    <t xml:space="preserve">Code N.1</t>
  </si>
  <si>
    <t xml:space="preserve">Code N.2</t>
  </si>
  <si>
    <t xml:space="preserve">Code N.3</t>
  </si>
  <si>
    <t xml:space="preserve">label</t>
  </si>
  <si>
    <t xml:space="preserve">top</t>
  </si>
  <si>
    <t xml:space="preserve">right</t>
  </si>
  <si>
    <t xml:space="preserve">bot</t>
  </si>
  <si>
    <t xml:space="preserve">left</t>
  </si>
  <si>
    <t xml:space="preserve">_top_</t>
  </si>
  <si>
    <t xml:space="preserve">_right_</t>
  </si>
  <si>
    <t xml:space="preserve">_bot_</t>
  </si>
  <si>
    <t xml:space="preserve">_left_</t>
  </si>
  <si>
    <t xml:space="preserve">1 - 0.45mm</t>
  </si>
  <si>
    <t xml:space="preserve">2 - 0.45mm</t>
  </si>
  <si>
    <t xml:space="preserve">S</t>
  </si>
  <si>
    <t xml:space="preserve">Blanco Soft 18 </t>
  </si>
  <si>
    <t xml:space="preserve">FEDE-LADO VISTO 1</t>
  </si>
  <si>
    <t xml:space="preserve">˄</t>
  </si>
  <si>
    <t xml:space="preserve">FEDE-LADO VISTO 2</t>
  </si>
  <si>
    <t xml:space="preserve">˅</t>
  </si>
  <si>
    <t xml:space="preserve">FEDE-M1- 03</t>
  </si>
  <si>
    <t xml:space="preserve">˂</t>
  </si>
  <si>
    <t xml:space="preserve">FEDE-M1- 04</t>
  </si>
  <si>
    <t xml:space="preserve">˃</t>
  </si>
  <si>
    <t xml:space="preserve">FEDE-M2- 05</t>
  </si>
  <si>
    <t xml:space="preserve">FEDE-M2- 10</t>
  </si>
  <si>
    <t xml:space="preserve">FEDE-M2- 11</t>
  </si>
  <si>
    <t xml:space="preserve">FEDE-M2- 14</t>
  </si>
  <si>
    <t xml:space="preserve">FEDE-M2- 16</t>
  </si>
  <si>
    <t xml:space="preserve">FEDE-M2- 21</t>
  </si>
  <si>
    <t xml:space="preserve">FEDE-M3- 01</t>
  </si>
  <si>
    <t xml:space="preserve">FEDE-M3- 02</t>
  </si>
  <si>
    <t xml:space="preserve">FEDE-M3- 03</t>
  </si>
  <si>
    <t xml:space="preserve">FEDE-M3- 06</t>
  </si>
  <si>
    <t xml:space="preserve">FEDE-M3- 07</t>
  </si>
  <si>
    <t xml:space="preserve">FEDE-M1- 01</t>
  </si>
  <si>
    <t xml:space="preserve">FEDE-M1- 02</t>
  </si>
  <si>
    <t xml:space="preserve">FEDE-M1- 06</t>
  </si>
  <si>
    <t xml:space="preserve">FEDE-M1- 08</t>
  </si>
  <si>
    <t xml:space="preserve">FEDE-M2- 01</t>
  </si>
  <si>
    <t xml:space="preserve">FEDE-M2- 02</t>
  </si>
  <si>
    <t xml:space="preserve">FEDE-M2- 04</t>
  </si>
  <si>
    <t xml:space="preserve">FEDE-M2- 06</t>
  </si>
  <si>
    <t xml:space="preserve">FEDE-M2- 08</t>
  </si>
  <si>
    <t xml:space="preserve">FEDE-M2- 09</t>
  </si>
  <si>
    <t xml:space="preserve">FEDE-M2- 12</t>
  </si>
  <si>
    <t xml:space="preserve">FEDE-M2- 17</t>
  </si>
  <si>
    <t xml:space="preserve">FEDE-M2- 19</t>
  </si>
  <si>
    <t xml:space="preserve">FEDE-M2- 22</t>
  </si>
  <si>
    <t xml:space="preserve">FEDE-M2- 24</t>
  </si>
  <si>
    <t xml:space="preserve">Fibro Plus 3 </t>
  </si>
  <si>
    <t xml:space="preserve">FEDE-M1- 05</t>
  </si>
  <si>
    <t xml:space="preserve">FEDE-M2- 07</t>
  </si>
  <si>
    <t xml:space="preserve">FEDE-M2- 13</t>
  </si>
  <si>
    <t xml:space="preserve">FEDE-M2- 15</t>
  </si>
  <si>
    <t xml:space="preserve">FEDE-M2- 20</t>
  </si>
  <si>
    <t xml:space="preserve">FEDE-M3- 05</t>
  </si>
  <si>
    <t xml:space="preserve">Carvalho Mezzo </t>
  </si>
  <si>
    <t xml:space="preserve">FEDE-M1- 07</t>
  </si>
  <si>
    <t xml:space="preserve">FEDE-M1- 09</t>
  </si>
  <si>
    <t xml:space="preserve">N</t>
  </si>
  <si>
    <t xml:space="preserve">FEDE-M2- 03</t>
  </si>
  <si>
    <t xml:space="preserve">FEDE-M2- 18</t>
  </si>
  <si>
    <t xml:space="preserve">FEDE-M2- 23</t>
  </si>
  <si>
    <t xml:space="preserve">FEDE-M3- 04</t>
  </si>
  <si>
    <t xml:space="preserve">TITULO</t>
  </si>
  <si>
    <t xml:space="preserve">amoblamientos.moodi</t>
  </si>
  <si>
    <t xml:space="preserve">Orden de trabajo: EJEMPLO OPTIMIZACIÓN FEDE</t>
  </si>
  <si>
    <t xml:space="preserve">Código de orden: </t>
  </si>
  <si>
    <t xml:space="preserve">Dirección: </t>
  </si>
  <si>
    <t xml:space="preserve">Cliente: </t>
  </si>
  <si>
    <t xml:space="preserve">Fecha: 1/18/2024</t>
  </si>
  <si>
    <t xml:space="preserve">Línea directa: </t>
  </si>
  <si>
    <t xml:space="preserve">Email: amoblamientos.moodi@gmail.com</t>
  </si>
  <si>
    <t xml:space="preserve">Numero de telefono: </t>
  </si>
  <si>
    <t xml:space="preserve">No.</t>
  </si>
  <si>
    <t xml:space="preserve">Tipo</t>
  </si>
  <si>
    <t xml:space="preserve">Descripción</t>
  </si>
  <si>
    <t xml:space="preserve">Cantidad</t>
  </si>
  <si>
    <t xml:space="preserve">Unidad</t>
  </si>
  <si>
    <t xml:space="preserve">Precio Unitario</t>
  </si>
  <si>
    <t xml:space="preserve">Factor</t>
  </si>
  <si>
    <t xml:space="preserve">Cantidad Total</t>
  </si>
  <si>
    <t xml:space="preserve">CONECTOR</t>
  </si>
  <si>
    <t xml:space="preserve">INTERSECCIÓN</t>
  </si>
  <si>
    <t xml:space="preserve">STATISTICAL OBJECTS</t>
  </si>
  <si>
    <t xml:space="preserve">TAPACANTO</t>
  </si>
  <si>
    <t xml:space="preserve">0.45mm</t>
  </si>
  <si>
    <t xml:space="preserve">Metros</t>
  </si>
  <si>
    <t xml:space="preserve">PLANCHA</t>
  </si>
  <si>
    <t xml:space="preserve">18mm</t>
  </si>
  <si>
    <t xml:space="preserve">Blanco Soft 18</t>
  </si>
  <si>
    <t xml:space="preserve">Plancha</t>
  </si>
  <si>
    <t xml:space="preserve">Carvalho Mezzo</t>
  </si>
  <si>
    <t xml:space="preserve">3mm</t>
  </si>
  <si>
    <t xml:space="preserve">Fibro Plus 3</t>
  </si>
  <si>
    <t xml:space="preserve">OTROS COSTOS</t>
  </si>
  <si>
    <t xml:space="preserve">1</t>
  </si>
  <si>
    <t xml:space="preserve">COSTO 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</si>
</sst>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b val="true"/>
      <i val="true"/>
      <sz val="11"/>
      <name val="Calibri"/>
      <family val="0"/>
      <charset val="1"/>
    </font>
    <font>
      <b val="true"/>
      <sz val="11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08789"/>
        <bgColor rgb="FF008080"/>
      </patternFill>
    </fill>
    <fill>
      <patternFill patternType="solid">
        <fgColor rgb="FFF2F2F2"/>
        <bgColor rgb="FFFFFFFF"/>
      </patternFill>
    </fill>
    <fill>
      <patternFill patternType="solid">
        <fgColor rgb="FF00CBD0"/>
        <bgColor rgb="FF33CC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4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3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789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BD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hyperlink" Target="https://www.facebook.com/abfurnituresolutions" TargetMode="External"/><Relationship Id="rId2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</xdr:row>
      <xdr:rowOff>0</xdr:rowOff>
    </xdr:from>
    <xdr:to>
      <xdr:col>1</xdr:col>
      <xdr:colOff>347760</xdr:colOff>
      <xdr:row>5</xdr:row>
      <xdr:rowOff>1440</xdr:rowOff>
    </xdr:to>
    <xdr:pic>
      <xdr:nvPicPr>
        <xdr:cNvPr id="0" name="Picture 1" descr="">
          <a:hlinkClick r:id="rId1"/>
        </xdr:cNvPr>
        <xdr:cNvPicPr/>
      </xdr:nvPicPr>
      <xdr:blipFill>
        <a:blip r:embed="rId2"/>
        <a:stretch/>
      </xdr:blipFill>
      <xdr:spPr>
        <a:xfrm>
          <a:off x="0" y="182880"/>
          <a:ext cx="771120" cy="73296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X43"/>
  <sheetViews>
    <sheetView showFormulas="false" showGridLines="true" showRowColHeaders="true" showZeros="true" rightToLeft="false" tabSelected="true" showOutlineSymbols="true" defaultGridColor="true" view="normal" topLeftCell="A25" colorId="64" zoomScale="100" zoomScaleNormal="100" zoomScalePageLayoutView="100" workbookViewId="0">
      <selection pane="topLeft" activeCell="E43" activeCellId="0" sqref="E43"/>
    </sheetView>
  </sheetViews>
  <sheetFormatPr defaultColWidth="8.90234375" defaultRowHeight="14.4" zeroHeight="false" outlineLevelRow="0" outlineLevelCol="0"/>
  <cols>
    <col collapsed="false" customWidth="true" hidden="false" outlineLevel="0" max="5" min="5" style="0" width="12.89"/>
    <col collapsed="false" customWidth="true" hidden="false" outlineLevel="0" max="6" min="6" style="0" width="12.33"/>
    <col collapsed="false" customWidth="true" hidden="false" outlineLevel="0" max="13" min="13" style="0" width="17.21"/>
    <col collapsed="false" customWidth="true" hidden="false" outlineLevel="0" max="20" min="18" style="0" width="10.22"/>
    <col collapsed="false" customWidth="true" hidden="false" outlineLevel="0" max="24" min="23" style="0" width="10.45"/>
  </cols>
  <sheetData>
    <row r="1" s="2" customFormat="true" ht="14.4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/>
      <c r="W1" s="1" t="s">
        <v>21</v>
      </c>
      <c r="X1" s="1" t="s">
        <v>22</v>
      </c>
    </row>
    <row r="2" customFormat="false" ht="14.4" hidden="false" customHeight="false" outlineLevel="0" collapsed="false">
      <c r="A2" s="0" t="n">
        <v>1</v>
      </c>
      <c r="B2" s="0" t="n">
        <v>1</v>
      </c>
      <c r="C2" s="0" t="n">
        <v>790</v>
      </c>
      <c r="D2" s="0" t="n">
        <v>680</v>
      </c>
      <c r="E2" s="0" t="n">
        <v>790</v>
      </c>
      <c r="F2" s="0" t="n">
        <v>679.55</v>
      </c>
      <c r="G2" s="0" t="n">
        <v>18</v>
      </c>
      <c r="H2" s="0" t="s">
        <v>23</v>
      </c>
      <c r="I2" s="0" t="s">
        <v>24</v>
      </c>
      <c r="M2" s="0" t="s">
        <v>25</v>
      </c>
      <c r="N2" s="0" t="s">
        <v>26</v>
      </c>
      <c r="R2" s="0" t="s">
        <v>21</v>
      </c>
      <c r="W2" s="0" t="n">
        <v>0.79</v>
      </c>
      <c r="X2" s="0" t="n">
        <v>0</v>
      </c>
    </row>
    <row r="3" customFormat="false" ht="14.4" hidden="false" customHeight="false" outlineLevel="0" collapsed="false">
      <c r="A3" s="3" t="n">
        <v>20</v>
      </c>
      <c r="B3" s="3" t="n">
        <v>1</v>
      </c>
      <c r="C3" s="3" t="n">
        <v>790</v>
      </c>
      <c r="D3" s="3" t="n">
        <v>150</v>
      </c>
      <c r="E3" s="3" t="n">
        <v>790</v>
      </c>
      <c r="F3" s="3" t="n">
        <v>149.55</v>
      </c>
      <c r="G3" s="3" t="n">
        <v>18</v>
      </c>
      <c r="H3" s="3" t="s">
        <v>23</v>
      </c>
      <c r="I3" s="3" t="s">
        <v>24</v>
      </c>
      <c r="J3" s="3"/>
      <c r="K3" s="3"/>
      <c r="L3" s="3"/>
      <c r="M3" s="3" t="s">
        <v>27</v>
      </c>
      <c r="N3" s="3"/>
      <c r="O3" s="3"/>
      <c r="P3" s="3" t="s">
        <v>28</v>
      </c>
      <c r="Q3" s="3"/>
      <c r="R3" s="3"/>
      <c r="S3" s="3"/>
      <c r="T3" s="3" t="s">
        <v>21</v>
      </c>
      <c r="U3" s="3"/>
      <c r="V3" s="3"/>
      <c r="W3" s="3" t="n">
        <v>0.79</v>
      </c>
      <c r="X3" s="3" t="n">
        <v>0</v>
      </c>
    </row>
    <row r="4" customFormat="false" ht="14.4" hidden="false" customHeight="false" outlineLevel="0" collapsed="false">
      <c r="A4" s="0" t="n">
        <v>403</v>
      </c>
      <c r="B4" s="0" t="n">
        <v>1</v>
      </c>
      <c r="C4" s="0" t="n">
        <v>1140</v>
      </c>
      <c r="D4" s="0" t="n">
        <v>280</v>
      </c>
      <c r="E4" s="0" t="n">
        <v>1139.55</v>
      </c>
      <c r="F4" s="0" t="n">
        <v>279.55</v>
      </c>
      <c r="G4" s="0" t="n">
        <v>18</v>
      </c>
      <c r="H4" s="0" t="s">
        <v>23</v>
      </c>
      <c r="I4" s="0" t="s">
        <v>24</v>
      </c>
      <c r="M4" s="0" t="s">
        <v>29</v>
      </c>
      <c r="P4" s="0" t="s">
        <v>28</v>
      </c>
      <c r="Q4" s="0" t="s">
        <v>30</v>
      </c>
      <c r="T4" s="0" t="s">
        <v>21</v>
      </c>
      <c r="U4" s="0" t="s">
        <v>21</v>
      </c>
      <c r="W4" s="0" t="n">
        <v>1.42</v>
      </c>
      <c r="X4" s="0" t="n">
        <v>0</v>
      </c>
    </row>
    <row r="5" customFormat="false" ht="14.4" hidden="false" customHeight="false" outlineLevel="0" collapsed="false">
      <c r="A5" s="3" t="n">
        <v>404</v>
      </c>
      <c r="B5" s="3" t="n">
        <v>1</v>
      </c>
      <c r="C5" s="3" t="n">
        <v>1140</v>
      </c>
      <c r="D5" s="3" t="n">
        <v>280</v>
      </c>
      <c r="E5" s="3" t="n">
        <v>1139.55</v>
      </c>
      <c r="F5" s="3" t="n">
        <v>279.55</v>
      </c>
      <c r="G5" s="3" t="n">
        <v>18</v>
      </c>
      <c r="H5" s="3" t="s">
        <v>23</v>
      </c>
      <c r="I5" s="3" t="s">
        <v>24</v>
      </c>
      <c r="J5" s="3"/>
      <c r="K5" s="3"/>
      <c r="L5" s="3"/>
      <c r="M5" s="3" t="s">
        <v>31</v>
      </c>
      <c r="N5" s="3"/>
      <c r="O5" s="3" t="s">
        <v>32</v>
      </c>
      <c r="P5" s="3" t="s">
        <v>28</v>
      </c>
      <c r="Q5" s="3"/>
      <c r="R5" s="3"/>
      <c r="S5" s="3" t="s">
        <v>21</v>
      </c>
      <c r="T5" s="3" t="s">
        <v>21</v>
      </c>
      <c r="U5" s="3"/>
      <c r="V5" s="3"/>
      <c r="W5" s="3" t="n">
        <v>1.42</v>
      </c>
      <c r="X5" s="3" t="n">
        <v>0</v>
      </c>
    </row>
    <row r="6" customFormat="false" ht="14.4" hidden="false" customHeight="false" outlineLevel="0" collapsed="false">
      <c r="A6" s="0" t="n">
        <v>17</v>
      </c>
      <c r="B6" s="0" t="n">
        <v>1</v>
      </c>
      <c r="C6" s="0" t="n">
        <v>772</v>
      </c>
      <c r="D6" s="0" t="n">
        <v>657</v>
      </c>
      <c r="E6" s="0" t="n">
        <v>772</v>
      </c>
      <c r="F6" s="0" t="n">
        <v>656.55</v>
      </c>
      <c r="G6" s="0" t="n">
        <v>18</v>
      </c>
      <c r="H6" s="0" t="s">
        <v>23</v>
      </c>
      <c r="I6" s="0" t="s">
        <v>24</v>
      </c>
      <c r="M6" s="0" t="s">
        <v>33</v>
      </c>
      <c r="N6" s="0" t="s">
        <v>26</v>
      </c>
      <c r="R6" s="0" t="s">
        <v>21</v>
      </c>
      <c r="W6" s="0" t="n">
        <v>0.772</v>
      </c>
      <c r="X6" s="0" t="n">
        <v>0</v>
      </c>
    </row>
    <row r="7" customFormat="false" ht="14.4" hidden="false" customHeight="false" outlineLevel="0" collapsed="false">
      <c r="A7" s="3" t="n">
        <v>18</v>
      </c>
      <c r="B7" s="3" t="n">
        <v>1</v>
      </c>
      <c r="C7" s="3" t="n">
        <v>772</v>
      </c>
      <c r="D7" s="3" t="n">
        <v>657</v>
      </c>
      <c r="E7" s="3" t="n">
        <v>772</v>
      </c>
      <c r="F7" s="3" t="n">
        <v>656.55</v>
      </c>
      <c r="G7" s="3" t="n">
        <v>18</v>
      </c>
      <c r="H7" s="3" t="s">
        <v>23</v>
      </c>
      <c r="I7" s="3" t="s">
        <v>24</v>
      </c>
      <c r="J7" s="3"/>
      <c r="K7" s="3"/>
      <c r="L7" s="3"/>
      <c r="M7" s="3" t="s">
        <v>34</v>
      </c>
      <c r="N7" s="3"/>
      <c r="O7" s="3"/>
      <c r="P7" s="3" t="s">
        <v>28</v>
      </c>
      <c r="Q7" s="3"/>
      <c r="R7" s="3"/>
      <c r="S7" s="3"/>
      <c r="T7" s="3" t="s">
        <v>21</v>
      </c>
      <c r="U7" s="3"/>
      <c r="V7" s="3"/>
      <c r="W7" s="3" t="n">
        <v>0.772</v>
      </c>
      <c r="X7" s="3" t="n">
        <v>0</v>
      </c>
    </row>
    <row r="8" customFormat="false" ht="14.4" hidden="false" customHeight="false" outlineLevel="0" collapsed="false">
      <c r="A8" s="0" t="n">
        <v>19</v>
      </c>
      <c r="B8" s="0" t="n">
        <v>1</v>
      </c>
      <c r="C8" s="0" t="n">
        <v>446</v>
      </c>
      <c r="D8" s="0" t="n">
        <v>70</v>
      </c>
      <c r="E8" s="0" t="n">
        <v>446</v>
      </c>
      <c r="F8" s="0" t="n">
        <v>70</v>
      </c>
      <c r="G8" s="0" t="n">
        <v>18</v>
      </c>
      <c r="H8" s="0" t="s">
        <v>23</v>
      </c>
      <c r="I8" s="0" t="s">
        <v>24</v>
      </c>
      <c r="M8" s="0" t="s">
        <v>35</v>
      </c>
      <c r="W8" s="0" t="n">
        <v>0</v>
      </c>
      <c r="X8" s="0" t="n">
        <v>0</v>
      </c>
    </row>
    <row r="9" customFormat="false" ht="14.4" hidden="false" customHeight="false" outlineLevel="0" collapsed="false">
      <c r="A9" s="3" t="n">
        <v>33</v>
      </c>
      <c r="B9" s="3" t="n">
        <v>1</v>
      </c>
      <c r="C9" s="3" t="n">
        <v>464</v>
      </c>
      <c r="D9" s="3" t="n">
        <v>109.99</v>
      </c>
      <c r="E9" s="3" t="n">
        <v>464</v>
      </c>
      <c r="F9" s="3" t="n">
        <v>109.54</v>
      </c>
      <c r="G9" s="3" t="n">
        <v>18</v>
      </c>
      <c r="H9" s="3" t="s">
        <v>23</v>
      </c>
      <c r="I9" s="3" t="s">
        <v>24</v>
      </c>
      <c r="J9" s="3"/>
      <c r="K9" s="3"/>
      <c r="L9" s="3"/>
      <c r="M9" s="3" t="s">
        <v>36</v>
      </c>
      <c r="N9" s="3" t="s">
        <v>26</v>
      </c>
      <c r="O9" s="3"/>
      <c r="P9" s="3"/>
      <c r="Q9" s="3"/>
      <c r="R9" s="3" t="s">
        <v>21</v>
      </c>
      <c r="S9" s="3"/>
      <c r="T9" s="3"/>
      <c r="U9" s="3"/>
      <c r="V9" s="3"/>
      <c r="W9" s="3" t="n">
        <v>0.464</v>
      </c>
      <c r="X9" s="3" t="n">
        <v>0</v>
      </c>
    </row>
    <row r="10" customFormat="false" ht="14.4" hidden="false" customHeight="false" outlineLevel="0" collapsed="false">
      <c r="A10" s="0" t="n">
        <v>31</v>
      </c>
      <c r="B10" s="0" t="n">
        <v>1</v>
      </c>
      <c r="C10" s="0" t="n">
        <v>464</v>
      </c>
      <c r="D10" s="0" t="n">
        <v>109.99</v>
      </c>
      <c r="E10" s="0" t="n">
        <v>464</v>
      </c>
      <c r="F10" s="0" t="n">
        <v>109.54</v>
      </c>
      <c r="G10" s="0" t="n">
        <v>18</v>
      </c>
      <c r="H10" s="0" t="s">
        <v>23</v>
      </c>
      <c r="I10" s="0" t="s">
        <v>24</v>
      </c>
      <c r="M10" s="0" t="s">
        <v>37</v>
      </c>
      <c r="N10" s="0" t="s">
        <v>26</v>
      </c>
      <c r="R10" s="0" t="s">
        <v>21</v>
      </c>
      <c r="W10" s="0" t="n">
        <v>0.464</v>
      </c>
      <c r="X10" s="0" t="n">
        <v>0</v>
      </c>
    </row>
    <row r="11" customFormat="false" ht="14.4" hidden="false" customHeight="false" outlineLevel="0" collapsed="false">
      <c r="A11" s="3" t="n">
        <v>7</v>
      </c>
      <c r="B11" s="3" t="n">
        <v>1</v>
      </c>
      <c r="C11" s="3" t="n">
        <v>464</v>
      </c>
      <c r="D11" s="3" t="n">
        <v>109.99</v>
      </c>
      <c r="E11" s="3" t="n">
        <v>464</v>
      </c>
      <c r="F11" s="3" t="n">
        <v>109.54</v>
      </c>
      <c r="G11" s="3" t="n">
        <v>18</v>
      </c>
      <c r="H11" s="3" t="s">
        <v>23</v>
      </c>
      <c r="I11" s="3" t="s">
        <v>24</v>
      </c>
      <c r="J11" s="3"/>
      <c r="K11" s="3"/>
      <c r="L11" s="3"/>
      <c r="M11" s="3" t="s">
        <v>38</v>
      </c>
      <c r="N11" s="3" t="s">
        <v>26</v>
      </c>
      <c r="O11" s="3"/>
      <c r="P11" s="3"/>
      <c r="Q11" s="3"/>
      <c r="R11" s="3" t="s">
        <v>21</v>
      </c>
      <c r="S11" s="3"/>
      <c r="T11" s="3"/>
      <c r="U11" s="3"/>
      <c r="V11" s="3"/>
      <c r="W11" s="3" t="n">
        <v>0.464</v>
      </c>
      <c r="X11" s="3" t="n">
        <v>0</v>
      </c>
    </row>
    <row r="12" customFormat="false" ht="14.4" hidden="false" customHeight="false" outlineLevel="0" collapsed="false">
      <c r="A12" s="0" t="n">
        <v>13</v>
      </c>
      <c r="B12" s="0" t="n">
        <v>1</v>
      </c>
      <c r="C12" s="0" t="n">
        <v>772</v>
      </c>
      <c r="D12" s="0" t="n">
        <v>657</v>
      </c>
      <c r="E12" s="0" t="n">
        <v>772</v>
      </c>
      <c r="F12" s="0" t="n">
        <v>656.55</v>
      </c>
      <c r="G12" s="0" t="n">
        <v>18</v>
      </c>
      <c r="H12" s="0" t="s">
        <v>23</v>
      </c>
      <c r="I12" s="0" t="s">
        <v>24</v>
      </c>
      <c r="M12" s="0" t="s">
        <v>39</v>
      </c>
      <c r="N12" s="0" t="s">
        <v>26</v>
      </c>
      <c r="R12" s="0" t="s">
        <v>21</v>
      </c>
      <c r="W12" s="0" t="n">
        <v>0.772</v>
      </c>
      <c r="X12" s="0" t="n">
        <v>0</v>
      </c>
    </row>
    <row r="13" customFormat="false" ht="14.4" hidden="false" customHeight="false" outlineLevel="0" collapsed="false">
      <c r="A13" s="3" t="n">
        <v>11</v>
      </c>
      <c r="B13" s="3" t="n">
        <v>1</v>
      </c>
      <c r="C13" s="3" t="n">
        <v>546</v>
      </c>
      <c r="D13" s="3" t="n">
        <v>70</v>
      </c>
      <c r="E13" s="3" t="n">
        <v>546</v>
      </c>
      <c r="F13" s="3" t="n">
        <v>70</v>
      </c>
      <c r="G13" s="3" t="n">
        <v>18</v>
      </c>
      <c r="H13" s="3" t="s">
        <v>23</v>
      </c>
      <c r="I13" s="3" t="s">
        <v>24</v>
      </c>
      <c r="J13" s="3"/>
      <c r="K13" s="3"/>
      <c r="L13" s="3"/>
      <c r="M13" s="3" t="s">
        <v>40</v>
      </c>
      <c r="N13" s="3"/>
      <c r="O13" s="3"/>
      <c r="P13" s="3"/>
      <c r="Q13" s="3"/>
      <c r="R13" s="3"/>
      <c r="S13" s="3"/>
      <c r="T13" s="3"/>
      <c r="U13" s="3"/>
      <c r="V13" s="3"/>
      <c r="W13" s="3" t="n">
        <v>0</v>
      </c>
      <c r="X13" s="3" t="n">
        <v>0</v>
      </c>
    </row>
    <row r="14" customFormat="false" ht="14.4" hidden="false" customHeight="false" outlineLevel="0" collapsed="false">
      <c r="A14" s="0" t="n">
        <v>10</v>
      </c>
      <c r="B14" s="0" t="n">
        <v>1</v>
      </c>
      <c r="C14" s="0" t="n">
        <v>657</v>
      </c>
      <c r="D14" s="0" t="n">
        <v>582</v>
      </c>
      <c r="E14" s="0" t="n">
        <v>656.55</v>
      </c>
      <c r="F14" s="0" t="n">
        <v>582</v>
      </c>
      <c r="G14" s="0" t="n">
        <v>18</v>
      </c>
      <c r="H14" s="0" t="s">
        <v>23</v>
      </c>
      <c r="I14" s="0" t="s">
        <v>24</v>
      </c>
      <c r="M14" s="0" t="s">
        <v>41</v>
      </c>
      <c r="Q14" s="0" t="s">
        <v>30</v>
      </c>
      <c r="U14" s="0" t="s">
        <v>21</v>
      </c>
      <c r="W14" s="0" t="n">
        <v>0.582</v>
      </c>
      <c r="X14" s="0" t="n">
        <v>0</v>
      </c>
    </row>
    <row r="15" customFormat="false" ht="14.4" hidden="false" customHeight="false" outlineLevel="0" collapsed="false">
      <c r="A15" s="3" t="n">
        <v>9</v>
      </c>
      <c r="B15" s="3" t="n">
        <v>1</v>
      </c>
      <c r="C15" s="3" t="n">
        <v>772</v>
      </c>
      <c r="D15" s="3" t="n">
        <v>657</v>
      </c>
      <c r="E15" s="3" t="n">
        <v>772</v>
      </c>
      <c r="F15" s="3" t="n">
        <v>656.55</v>
      </c>
      <c r="G15" s="3" t="n">
        <v>18</v>
      </c>
      <c r="H15" s="3" t="s">
        <v>23</v>
      </c>
      <c r="I15" s="3" t="s">
        <v>24</v>
      </c>
      <c r="J15" s="3"/>
      <c r="K15" s="3"/>
      <c r="L15" s="3"/>
      <c r="M15" s="3" t="s">
        <v>42</v>
      </c>
      <c r="N15" s="3"/>
      <c r="O15" s="3"/>
      <c r="P15" s="3" t="s">
        <v>28</v>
      </c>
      <c r="Q15" s="3"/>
      <c r="R15" s="3"/>
      <c r="S15" s="3"/>
      <c r="T15" s="3" t="s">
        <v>21</v>
      </c>
      <c r="U15" s="3"/>
      <c r="V15" s="3"/>
      <c r="W15" s="3" t="n">
        <v>0.772</v>
      </c>
      <c r="X15" s="3" t="n">
        <v>0</v>
      </c>
    </row>
    <row r="16" customFormat="false" ht="14.4" hidden="false" customHeight="false" outlineLevel="0" collapsed="false">
      <c r="A16" s="0" t="n">
        <v>15</v>
      </c>
      <c r="B16" s="0" t="n">
        <v>1</v>
      </c>
      <c r="C16" s="0" t="n">
        <v>546</v>
      </c>
      <c r="D16" s="0" t="n">
        <v>70</v>
      </c>
      <c r="E16" s="0" t="n">
        <v>546</v>
      </c>
      <c r="F16" s="0" t="n">
        <v>69.55</v>
      </c>
      <c r="G16" s="0" t="n">
        <v>18</v>
      </c>
      <c r="H16" s="0" t="s">
        <v>23</v>
      </c>
      <c r="I16" s="0" t="s">
        <v>24</v>
      </c>
      <c r="M16" s="0" t="s">
        <v>43</v>
      </c>
      <c r="P16" s="0" t="s">
        <v>28</v>
      </c>
      <c r="T16" s="0" t="s">
        <v>21</v>
      </c>
      <c r="W16" s="0" t="n">
        <v>0.546</v>
      </c>
      <c r="X16" s="0" t="n">
        <v>0</v>
      </c>
    </row>
    <row r="17" customFormat="false" ht="14.4" hidden="false" customHeight="false" outlineLevel="0" collapsed="false">
      <c r="A17" s="3" t="n">
        <v>24</v>
      </c>
      <c r="B17" s="3" t="n">
        <v>2</v>
      </c>
      <c r="C17" s="3" t="n">
        <v>1064</v>
      </c>
      <c r="D17" s="3" t="n">
        <v>280</v>
      </c>
      <c r="E17" s="3" t="n">
        <v>1064</v>
      </c>
      <c r="F17" s="3" t="n">
        <v>279.55</v>
      </c>
      <c r="G17" s="3" t="n">
        <v>18</v>
      </c>
      <c r="H17" s="3" t="s">
        <v>23</v>
      </c>
      <c r="I17" s="3" t="s">
        <v>24</v>
      </c>
      <c r="J17" s="3"/>
      <c r="K17" s="3"/>
      <c r="L17" s="3"/>
      <c r="M17" s="3" t="s">
        <v>44</v>
      </c>
      <c r="N17" s="3" t="s">
        <v>26</v>
      </c>
      <c r="O17" s="3"/>
      <c r="P17" s="3"/>
      <c r="Q17" s="3"/>
      <c r="R17" s="3" t="s">
        <v>21</v>
      </c>
      <c r="S17" s="3"/>
      <c r="T17" s="3"/>
      <c r="U17" s="3"/>
      <c r="V17" s="3"/>
      <c r="W17" s="3" t="n">
        <v>1.064</v>
      </c>
      <c r="X17" s="3" t="n">
        <v>0</v>
      </c>
    </row>
    <row r="18" customFormat="false" ht="14.4" hidden="false" customHeight="false" outlineLevel="0" collapsed="false">
      <c r="A18" s="0" t="n">
        <v>22</v>
      </c>
      <c r="B18" s="0" t="n">
        <v>2</v>
      </c>
      <c r="C18" s="0" t="n">
        <v>1064</v>
      </c>
      <c r="D18" s="0" t="n">
        <v>280</v>
      </c>
      <c r="E18" s="0" t="n">
        <v>1064</v>
      </c>
      <c r="F18" s="0" t="n">
        <v>279.55</v>
      </c>
      <c r="G18" s="0" t="n">
        <v>18</v>
      </c>
      <c r="H18" s="0" t="s">
        <v>23</v>
      </c>
      <c r="I18" s="0" t="s">
        <v>24</v>
      </c>
      <c r="M18" s="0" t="s">
        <v>45</v>
      </c>
      <c r="N18" s="0" t="s">
        <v>26</v>
      </c>
      <c r="R18" s="0" t="s">
        <v>21</v>
      </c>
      <c r="W18" s="0" t="n">
        <v>1.064</v>
      </c>
      <c r="X18" s="0" t="n">
        <v>0</v>
      </c>
    </row>
    <row r="19" customFormat="false" ht="14.4" hidden="false" customHeight="false" outlineLevel="0" collapsed="false">
      <c r="A19" s="3" t="n">
        <v>406</v>
      </c>
      <c r="B19" s="3" t="n">
        <v>2</v>
      </c>
      <c r="C19" s="3" t="n">
        <v>1064</v>
      </c>
      <c r="D19" s="3" t="n">
        <v>280</v>
      </c>
      <c r="E19" s="3" t="n">
        <v>1064</v>
      </c>
      <c r="F19" s="3" t="n">
        <v>279.55</v>
      </c>
      <c r="G19" s="3" t="n">
        <v>18</v>
      </c>
      <c r="H19" s="3" t="s">
        <v>23</v>
      </c>
      <c r="I19" s="3" t="s">
        <v>24</v>
      </c>
      <c r="J19" s="3"/>
      <c r="K19" s="3"/>
      <c r="L19" s="3"/>
      <c r="M19" s="3" t="s">
        <v>46</v>
      </c>
      <c r="N19" s="3" t="s">
        <v>26</v>
      </c>
      <c r="O19" s="3"/>
      <c r="P19" s="3"/>
      <c r="Q19" s="3"/>
      <c r="R19" s="3" t="s">
        <v>21</v>
      </c>
      <c r="S19" s="3"/>
      <c r="T19" s="3"/>
      <c r="U19" s="3"/>
      <c r="V19" s="3"/>
      <c r="W19" s="3" t="n">
        <v>1.064</v>
      </c>
      <c r="X19" s="3" t="n">
        <v>0</v>
      </c>
    </row>
    <row r="20" customFormat="false" ht="14.4" hidden="false" customHeight="false" outlineLevel="0" collapsed="false">
      <c r="A20" s="0" t="n">
        <v>408</v>
      </c>
      <c r="B20" s="0" t="n">
        <v>2</v>
      </c>
      <c r="C20" s="0" t="n">
        <v>1064</v>
      </c>
      <c r="D20" s="0" t="n">
        <v>280</v>
      </c>
      <c r="E20" s="0" t="n">
        <v>1064</v>
      </c>
      <c r="F20" s="0" t="n">
        <v>279.55</v>
      </c>
      <c r="G20" s="0" t="n">
        <v>18</v>
      </c>
      <c r="H20" s="0" t="s">
        <v>23</v>
      </c>
      <c r="I20" s="0" t="s">
        <v>24</v>
      </c>
      <c r="M20" s="0" t="s">
        <v>47</v>
      </c>
      <c r="N20" s="0" t="s">
        <v>26</v>
      </c>
      <c r="R20" s="0" t="s">
        <v>21</v>
      </c>
      <c r="W20" s="0" t="n">
        <v>1.064</v>
      </c>
      <c r="X20" s="0" t="n">
        <v>0</v>
      </c>
    </row>
    <row r="21" customFormat="false" ht="14.4" hidden="false" customHeight="false" outlineLevel="0" collapsed="false">
      <c r="A21" s="3" t="n">
        <v>29</v>
      </c>
      <c r="B21" s="3" t="n">
        <v>2</v>
      </c>
      <c r="C21" s="3" t="n">
        <v>418</v>
      </c>
      <c r="D21" s="3" t="n">
        <v>286.99</v>
      </c>
      <c r="E21" s="3" t="n">
        <v>417.1</v>
      </c>
      <c r="F21" s="3" t="n">
        <v>286.54</v>
      </c>
      <c r="G21" s="3" t="n">
        <v>18</v>
      </c>
      <c r="H21" s="3" t="s">
        <v>23</v>
      </c>
      <c r="I21" s="3" t="s">
        <v>24</v>
      </c>
      <c r="J21" s="3"/>
      <c r="K21" s="3"/>
      <c r="L21" s="3"/>
      <c r="M21" s="3" t="s">
        <v>48</v>
      </c>
      <c r="N21" s="3" t="s">
        <v>26</v>
      </c>
      <c r="O21" s="3" t="s">
        <v>32</v>
      </c>
      <c r="P21" s="3"/>
      <c r="Q21" s="3" t="s">
        <v>30</v>
      </c>
      <c r="R21" s="3" t="s">
        <v>21</v>
      </c>
      <c r="S21" s="3" t="s">
        <v>21</v>
      </c>
      <c r="T21" s="3"/>
      <c r="U21" s="3" t="s">
        <v>21</v>
      </c>
      <c r="V21" s="3"/>
      <c r="W21" s="3" t="n">
        <v>0.992</v>
      </c>
      <c r="X21" s="3" t="n">
        <v>0</v>
      </c>
    </row>
    <row r="22" customFormat="false" ht="14.4" hidden="false" customHeight="false" outlineLevel="0" collapsed="false">
      <c r="A22" s="0" t="n">
        <v>34</v>
      </c>
      <c r="B22" s="0" t="n">
        <v>2</v>
      </c>
      <c r="C22" s="0" t="n">
        <v>418</v>
      </c>
      <c r="D22" s="0" t="n">
        <v>109.99</v>
      </c>
      <c r="E22" s="0" t="n">
        <v>417.1</v>
      </c>
      <c r="F22" s="0" t="n">
        <v>109.54</v>
      </c>
      <c r="G22" s="0" t="n">
        <v>18</v>
      </c>
      <c r="H22" s="0" t="s">
        <v>23</v>
      </c>
      <c r="I22" s="0" t="s">
        <v>24</v>
      </c>
      <c r="M22" s="0" t="s">
        <v>49</v>
      </c>
      <c r="N22" s="0" t="s">
        <v>26</v>
      </c>
      <c r="O22" s="0" t="s">
        <v>32</v>
      </c>
      <c r="Q22" s="0" t="s">
        <v>30</v>
      </c>
      <c r="R22" s="0" t="s">
        <v>21</v>
      </c>
      <c r="S22" s="0" t="s">
        <v>21</v>
      </c>
      <c r="U22" s="0" t="s">
        <v>21</v>
      </c>
      <c r="W22" s="0" t="n">
        <v>0.638</v>
      </c>
      <c r="X22" s="0" t="n">
        <v>0</v>
      </c>
    </row>
    <row r="23" customFormat="false" ht="14.4" hidden="false" customHeight="false" outlineLevel="0" collapsed="false">
      <c r="A23" s="3" t="n">
        <v>2</v>
      </c>
      <c r="B23" s="3" t="n">
        <v>2</v>
      </c>
      <c r="C23" s="3" t="n">
        <v>446</v>
      </c>
      <c r="D23" s="3" t="n">
        <v>70</v>
      </c>
      <c r="E23" s="3" t="n">
        <v>446</v>
      </c>
      <c r="F23" s="3" t="n">
        <v>69.55</v>
      </c>
      <c r="G23" s="3" t="n">
        <v>18</v>
      </c>
      <c r="H23" s="3" t="s">
        <v>23</v>
      </c>
      <c r="I23" s="3" t="s">
        <v>24</v>
      </c>
      <c r="J23" s="3"/>
      <c r="K23" s="3"/>
      <c r="L23" s="3"/>
      <c r="M23" s="3" t="s">
        <v>50</v>
      </c>
      <c r="N23" s="3"/>
      <c r="O23" s="3"/>
      <c r="P23" s="3" t="s">
        <v>28</v>
      </c>
      <c r="Q23" s="3"/>
      <c r="R23" s="3"/>
      <c r="S23" s="3"/>
      <c r="T23" s="3" t="s">
        <v>21</v>
      </c>
      <c r="U23" s="3"/>
      <c r="V23" s="3"/>
      <c r="W23" s="3" t="n">
        <v>0.446</v>
      </c>
      <c r="X23" s="3" t="n">
        <v>0</v>
      </c>
    </row>
    <row r="24" customFormat="false" ht="14.4" hidden="false" customHeight="false" outlineLevel="0" collapsed="false">
      <c r="A24" s="0" t="n">
        <v>23</v>
      </c>
      <c r="B24" s="0" t="n">
        <v>2</v>
      </c>
      <c r="C24" s="0" t="n">
        <v>464</v>
      </c>
      <c r="D24" s="0" t="n">
        <v>286.99</v>
      </c>
      <c r="E24" s="0" t="n">
        <v>464</v>
      </c>
      <c r="F24" s="0" t="n">
        <v>286.54</v>
      </c>
      <c r="G24" s="0" t="n">
        <v>18</v>
      </c>
      <c r="H24" s="0" t="s">
        <v>23</v>
      </c>
      <c r="I24" s="0" t="s">
        <v>24</v>
      </c>
      <c r="M24" s="0" t="s">
        <v>51</v>
      </c>
      <c r="N24" s="0" t="s">
        <v>26</v>
      </c>
      <c r="R24" s="0" t="s">
        <v>21</v>
      </c>
      <c r="W24" s="0" t="n">
        <v>0.464</v>
      </c>
      <c r="X24" s="0" t="n">
        <v>0</v>
      </c>
    </row>
    <row r="25" customFormat="false" ht="14.4" hidden="false" customHeight="false" outlineLevel="0" collapsed="false">
      <c r="A25" s="3" t="n">
        <v>28</v>
      </c>
      <c r="B25" s="3" t="n">
        <v>2</v>
      </c>
      <c r="C25" s="3" t="n">
        <v>418</v>
      </c>
      <c r="D25" s="3" t="n">
        <v>286.99</v>
      </c>
      <c r="E25" s="3" t="n">
        <v>417.1</v>
      </c>
      <c r="F25" s="3" t="n">
        <v>286.54</v>
      </c>
      <c r="G25" s="3" t="n">
        <v>18</v>
      </c>
      <c r="H25" s="3" t="s">
        <v>23</v>
      </c>
      <c r="I25" s="3" t="s">
        <v>24</v>
      </c>
      <c r="J25" s="3"/>
      <c r="K25" s="3"/>
      <c r="L25" s="3"/>
      <c r="M25" s="3" t="s">
        <v>52</v>
      </c>
      <c r="N25" s="3" t="s">
        <v>26</v>
      </c>
      <c r="O25" s="3" t="s">
        <v>32</v>
      </c>
      <c r="P25" s="3"/>
      <c r="Q25" s="3" t="s">
        <v>30</v>
      </c>
      <c r="R25" s="3" t="s">
        <v>21</v>
      </c>
      <c r="S25" s="3" t="s">
        <v>21</v>
      </c>
      <c r="T25" s="3"/>
      <c r="U25" s="3" t="s">
        <v>21</v>
      </c>
      <c r="V25" s="3"/>
      <c r="W25" s="3" t="n">
        <v>0.992</v>
      </c>
      <c r="X25" s="3" t="n">
        <v>0</v>
      </c>
    </row>
    <row r="26" customFormat="false" ht="14.4" hidden="false" customHeight="false" outlineLevel="0" collapsed="false">
      <c r="A26" s="0" t="n">
        <v>16</v>
      </c>
      <c r="B26" s="0" t="n">
        <v>2</v>
      </c>
      <c r="C26" s="0" t="n">
        <v>657</v>
      </c>
      <c r="D26" s="0" t="n">
        <v>482</v>
      </c>
      <c r="E26" s="0" t="n">
        <v>656.55</v>
      </c>
      <c r="F26" s="0" t="n">
        <v>482</v>
      </c>
      <c r="G26" s="0" t="n">
        <v>18</v>
      </c>
      <c r="H26" s="0" t="s">
        <v>23</v>
      </c>
      <c r="I26" s="0" t="s">
        <v>24</v>
      </c>
      <c r="M26" s="0" t="s">
        <v>53</v>
      </c>
      <c r="Q26" s="0" t="s">
        <v>30</v>
      </c>
      <c r="U26" s="0" t="s">
        <v>21</v>
      </c>
      <c r="W26" s="0" t="n">
        <v>0.482</v>
      </c>
      <c r="X26" s="0" t="n">
        <v>0</v>
      </c>
    </row>
    <row r="27" customFormat="false" ht="14.4" hidden="false" customHeight="false" outlineLevel="0" collapsed="false">
      <c r="A27" s="3" t="n">
        <v>21</v>
      </c>
      <c r="B27" s="3" t="n">
        <v>2</v>
      </c>
      <c r="C27" s="3" t="n">
        <v>464</v>
      </c>
      <c r="D27" s="3" t="n">
        <v>286.99</v>
      </c>
      <c r="E27" s="3" t="n">
        <v>464</v>
      </c>
      <c r="F27" s="3" t="n">
        <v>286.54</v>
      </c>
      <c r="G27" s="3" t="n">
        <v>18</v>
      </c>
      <c r="H27" s="3" t="s">
        <v>23</v>
      </c>
      <c r="I27" s="3" t="s">
        <v>24</v>
      </c>
      <c r="J27" s="3"/>
      <c r="K27" s="3"/>
      <c r="L27" s="3"/>
      <c r="M27" s="3" t="s">
        <v>54</v>
      </c>
      <c r="N27" s="3" t="s">
        <v>26</v>
      </c>
      <c r="O27" s="3"/>
      <c r="P27" s="3"/>
      <c r="Q27" s="3"/>
      <c r="R27" s="3" t="s">
        <v>21</v>
      </c>
      <c r="S27" s="3"/>
      <c r="T27" s="3"/>
      <c r="U27" s="3"/>
      <c r="V27" s="3"/>
      <c r="W27" s="3" t="n">
        <v>0.464</v>
      </c>
      <c r="X27" s="3" t="n">
        <v>0</v>
      </c>
    </row>
    <row r="28" customFormat="false" ht="14.4" hidden="false" customHeight="false" outlineLevel="0" collapsed="false">
      <c r="A28" s="0" t="n">
        <v>32</v>
      </c>
      <c r="B28" s="0" t="n">
        <v>2</v>
      </c>
      <c r="C28" s="0" t="n">
        <v>418</v>
      </c>
      <c r="D28" s="0" t="n">
        <v>109.99</v>
      </c>
      <c r="E28" s="0" t="n">
        <v>417.1</v>
      </c>
      <c r="F28" s="0" t="n">
        <v>109.54</v>
      </c>
      <c r="G28" s="0" t="n">
        <v>18</v>
      </c>
      <c r="H28" s="0" t="s">
        <v>23</v>
      </c>
      <c r="I28" s="0" t="s">
        <v>24</v>
      </c>
      <c r="M28" s="0" t="s">
        <v>55</v>
      </c>
      <c r="N28" s="0" t="s">
        <v>26</v>
      </c>
      <c r="O28" s="0" t="s">
        <v>32</v>
      </c>
      <c r="Q28" s="0" t="s">
        <v>30</v>
      </c>
      <c r="R28" s="0" t="s">
        <v>21</v>
      </c>
      <c r="S28" s="0" t="s">
        <v>21</v>
      </c>
      <c r="U28" s="0" t="s">
        <v>21</v>
      </c>
      <c r="W28" s="0" t="n">
        <v>0.638</v>
      </c>
      <c r="X28" s="0" t="n">
        <v>0</v>
      </c>
    </row>
    <row r="29" customFormat="false" ht="14.4" hidden="false" customHeight="false" outlineLevel="0" collapsed="false">
      <c r="A29" s="3" t="n">
        <v>5</v>
      </c>
      <c r="B29" s="3" t="n">
        <v>2</v>
      </c>
      <c r="C29" s="3" t="n">
        <v>418</v>
      </c>
      <c r="D29" s="3" t="n">
        <v>109.99</v>
      </c>
      <c r="E29" s="3" t="n">
        <v>417.1</v>
      </c>
      <c r="F29" s="3" t="n">
        <v>109.54</v>
      </c>
      <c r="G29" s="3" t="n">
        <v>18</v>
      </c>
      <c r="H29" s="3" t="s">
        <v>23</v>
      </c>
      <c r="I29" s="3" t="s">
        <v>24</v>
      </c>
      <c r="J29" s="3"/>
      <c r="K29" s="3"/>
      <c r="L29" s="3"/>
      <c r="M29" s="3" t="s">
        <v>56</v>
      </c>
      <c r="N29" s="3" t="s">
        <v>26</v>
      </c>
      <c r="O29" s="3" t="s">
        <v>32</v>
      </c>
      <c r="P29" s="3"/>
      <c r="Q29" s="3" t="s">
        <v>30</v>
      </c>
      <c r="R29" s="3" t="s">
        <v>21</v>
      </c>
      <c r="S29" s="3" t="s">
        <v>21</v>
      </c>
      <c r="T29" s="3"/>
      <c r="U29" s="3" t="s">
        <v>21</v>
      </c>
      <c r="V29" s="3"/>
      <c r="W29" s="3" t="n">
        <v>0.638</v>
      </c>
      <c r="X29" s="3" t="n">
        <v>0</v>
      </c>
    </row>
    <row r="30" customFormat="false" ht="14.4" hidden="false" customHeight="false" outlineLevel="0" collapsed="false">
      <c r="A30" s="0" t="n">
        <v>8</v>
      </c>
      <c r="B30" s="0" t="n">
        <v>2</v>
      </c>
      <c r="C30" s="0" t="n">
        <v>464</v>
      </c>
      <c r="D30" s="0" t="n">
        <v>109.99</v>
      </c>
      <c r="E30" s="0" t="n">
        <v>464</v>
      </c>
      <c r="F30" s="0" t="n">
        <v>109.54</v>
      </c>
      <c r="G30" s="0" t="n">
        <v>18</v>
      </c>
      <c r="H30" s="0" t="s">
        <v>23</v>
      </c>
      <c r="I30" s="0" t="s">
        <v>24</v>
      </c>
      <c r="M30" s="0" t="s">
        <v>57</v>
      </c>
      <c r="N30" s="0" t="s">
        <v>26</v>
      </c>
      <c r="R30" s="0" t="s">
        <v>21</v>
      </c>
      <c r="W30" s="0" t="n">
        <v>0.464</v>
      </c>
      <c r="X30" s="0" t="n">
        <v>0</v>
      </c>
    </row>
    <row r="31" customFormat="false" ht="14.4" hidden="false" customHeight="false" outlineLevel="0" collapsed="false">
      <c r="A31" s="3" t="n">
        <v>3</v>
      </c>
      <c r="B31" s="3" t="n">
        <v>2</v>
      </c>
      <c r="C31" s="3" t="n">
        <v>418</v>
      </c>
      <c r="D31" s="3" t="n">
        <v>109.99</v>
      </c>
      <c r="E31" s="3" t="n">
        <v>417.1</v>
      </c>
      <c r="F31" s="3" t="n">
        <v>109.54</v>
      </c>
      <c r="G31" s="3" t="n">
        <v>18</v>
      </c>
      <c r="H31" s="3" t="s">
        <v>23</v>
      </c>
      <c r="I31" s="3" t="s">
        <v>24</v>
      </c>
      <c r="J31" s="3"/>
      <c r="K31" s="3"/>
      <c r="L31" s="3"/>
      <c r="M31" s="3" t="s">
        <v>58</v>
      </c>
      <c r="N31" s="3" t="s">
        <v>26</v>
      </c>
      <c r="O31" s="3" t="s">
        <v>32</v>
      </c>
      <c r="P31" s="3"/>
      <c r="Q31" s="3" t="s">
        <v>30</v>
      </c>
      <c r="R31" s="3" t="s">
        <v>21</v>
      </c>
      <c r="S31" s="3" t="s">
        <v>21</v>
      </c>
      <c r="T31" s="3"/>
      <c r="U31" s="3" t="s">
        <v>21</v>
      </c>
      <c r="V31" s="3"/>
      <c r="W31" s="3" t="n">
        <v>0.638</v>
      </c>
      <c r="X31" s="3" t="n">
        <v>0</v>
      </c>
    </row>
    <row r="32" customFormat="false" ht="14.4" hidden="false" customHeight="false" outlineLevel="0" collapsed="false">
      <c r="A32" s="0" t="n">
        <v>405</v>
      </c>
      <c r="B32" s="0" t="n">
        <v>3</v>
      </c>
      <c r="C32" s="0" t="n">
        <v>1134</v>
      </c>
      <c r="D32" s="0" t="n">
        <v>1094</v>
      </c>
      <c r="E32" s="0" t="n">
        <v>1134</v>
      </c>
      <c r="F32" s="0" t="n">
        <v>1094</v>
      </c>
      <c r="G32" s="0" t="n">
        <v>3</v>
      </c>
      <c r="H32" s="0" t="s">
        <v>23</v>
      </c>
      <c r="I32" s="0" t="s">
        <v>59</v>
      </c>
      <c r="M32" s="0" t="s">
        <v>60</v>
      </c>
      <c r="W32" s="0" t="n">
        <v>0</v>
      </c>
      <c r="X32" s="0" t="n">
        <v>0</v>
      </c>
    </row>
    <row r="33" customFormat="false" ht="14.4" hidden="false" customHeight="false" outlineLevel="0" collapsed="false">
      <c r="A33" s="3" t="n">
        <v>26</v>
      </c>
      <c r="B33" s="3" t="n">
        <v>3</v>
      </c>
      <c r="C33" s="3" t="n">
        <v>496.09</v>
      </c>
      <c r="D33" s="3" t="n">
        <v>414.22</v>
      </c>
      <c r="E33" s="3" t="n">
        <v>496.09</v>
      </c>
      <c r="F33" s="3" t="n">
        <v>414.22</v>
      </c>
      <c r="G33" s="3" t="n">
        <v>3</v>
      </c>
      <c r="H33" s="3" t="s">
        <v>23</v>
      </c>
      <c r="I33" s="3" t="s">
        <v>59</v>
      </c>
      <c r="J33" s="3"/>
      <c r="K33" s="3"/>
      <c r="L33" s="3"/>
      <c r="M33" s="3" t="s">
        <v>61</v>
      </c>
      <c r="N33" s="3"/>
      <c r="O33" s="3"/>
      <c r="P33" s="3"/>
      <c r="Q33" s="3"/>
      <c r="R33" s="3"/>
      <c r="S33" s="3"/>
      <c r="T33" s="3"/>
      <c r="U33" s="3"/>
      <c r="V33" s="3"/>
      <c r="W33" s="3" t="n">
        <v>0</v>
      </c>
      <c r="X33" s="3" t="n">
        <v>0</v>
      </c>
    </row>
    <row r="34" customFormat="false" ht="14.4" hidden="false" customHeight="false" outlineLevel="0" collapsed="false">
      <c r="A34" s="0" t="n">
        <v>30</v>
      </c>
      <c r="B34" s="0" t="n">
        <v>3</v>
      </c>
      <c r="C34" s="0" t="n">
        <v>786</v>
      </c>
      <c r="D34" s="0" t="n">
        <v>478</v>
      </c>
      <c r="E34" s="0" t="n">
        <v>786</v>
      </c>
      <c r="F34" s="0" t="n">
        <v>478</v>
      </c>
      <c r="G34" s="0" t="n">
        <v>3</v>
      </c>
      <c r="H34" s="0" t="s">
        <v>23</v>
      </c>
      <c r="I34" s="0" t="s">
        <v>59</v>
      </c>
      <c r="M34" s="0" t="s">
        <v>62</v>
      </c>
      <c r="W34" s="0" t="n">
        <v>0</v>
      </c>
      <c r="X34" s="0" t="n">
        <v>0</v>
      </c>
    </row>
    <row r="35" customFormat="false" ht="14.4" hidden="false" customHeight="false" outlineLevel="0" collapsed="false">
      <c r="A35" s="3" t="n">
        <v>35</v>
      </c>
      <c r="B35" s="3" t="n">
        <v>3</v>
      </c>
      <c r="C35" s="3" t="n">
        <v>496</v>
      </c>
      <c r="D35" s="3" t="n">
        <v>414</v>
      </c>
      <c r="E35" s="3" t="n">
        <v>496</v>
      </c>
      <c r="F35" s="3" t="n">
        <v>414</v>
      </c>
      <c r="G35" s="3" t="n">
        <v>3</v>
      </c>
      <c r="H35" s="3" t="s">
        <v>23</v>
      </c>
      <c r="I35" s="3" t="s">
        <v>59</v>
      </c>
      <c r="J35" s="3"/>
      <c r="K35" s="3"/>
      <c r="L35" s="3"/>
      <c r="M35" s="3" t="s">
        <v>63</v>
      </c>
      <c r="N35" s="3"/>
      <c r="O35" s="3"/>
      <c r="P35" s="3"/>
      <c r="Q35" s="3"/>
      <c r="R35" s="3"/>
      <c r="S35" s="3"/>
      <c r="T35" s="3"/>
      <c r="U35" s="3"/>
      <c r="V35" s="3"/>
      <c r="W35" s="3" t="n">
        <v>0</v>
      </c>
      <c r="X35" s="3" t="n">
        <v>0</v>
      </c>
    </row>
    <row r="36" customFormat="false" ht="14.4" hidden="false" customHeight="false" outlineLevel="0" collapsed="false">
      <c r="A36" s="0" t="n">
        <v>6</v>
      </c>
      <c r="B36" s="0" t="n">
        <v>3</v>
      </c>
      <c r="C36" s="0" t="n">
        <v>496</v>
      </c>
      <c r="D36" s="0" t="n">
        <v>414</v>
      </c>
      <c r="E36" s="0" t="n">
        <v>496</v>
      </c>
      <c r="F36" s="0" t="n">
        <v>414</v>
      </c>
      <c r="G36" s="0" t="n">
        <v>3</v>
      </c>
      <c r="H36" s="0" t="s">
        <v>23</v>
      </c>
      <c r="I36" s="0" t="s">
        <v>59</v>
      </c>
      <c r="M36" s="0" t="s">
        <v>64</v>
      </c>
      <c r="W36" s="0" t="n">
        <v>0</v>
      </c>
      <c r="X36" s="0" t="n">
        <v>0</v>
      </c>
    </row>
    <row r="37" customFormat="false" ht="14.4" hidden="false" customHeight="false" outlineLevel="0" collapsed="false">
      <c r="A37" s="3" t="n">
        <v>12</v>
      </c>
      <c r="B37" s="3" t="n">
        <v>3</v>
      </c>
      <c r="C37" s="3" t="n">
        <v>786</v>
      </c>
      <c r="D37" s="3" t="n">
        <v>578</v>
      </c>
      <c r="E37" s="3" t="n">
        <v>786</v>
      </c>
      <c r="F37" s="3" t="n">
        <v>578</v>
      </c>
      <c r="G37" s="3" t="n">
        <v>3</v>
      </c>
      <c r="H37" s="3" t="s">
        <v>23</v>
      </c>
      <c r="I37" s="3" t="s">
        <v>59</v>
      </c>
      <c r="J37" s="3"/>
      <c r="K37" s="3"/>
      <c r="L37" s="3"/>
      <c r="M37" s="3" t="s">
        <v>65</v>
      </c>
      <c r="N37" s="3"/>
      <c r="O37" s="3"/>
      <c r="P37" s="3"/>
      <c r="Q37" s="3"/>
      <c r="R37" s="3"/>
      <c r="S37" s="3"/>
      <c r="T37" s="3"/>
      <c r="U37" s="3"/>
      <c r="V37" s="3"/>
      <c r="W37" s="3" t="n">
        <v>0</v>
      </c>
      <c r="X37" s="3" t="n">
        <v>0</v>
      </c>
    </row>
    <row r="38" customFormat="false" ht="14.4" hidden="false" customHeight="false" outlineLevel="0" collapsed="false">
      <c r="A38" s="0" t="n">
        <v>407</v>
      </c>
      <c r="B38" s="0" t="n">
        <v>4</v>
      </c>
      <c r="C38" s="0" t="n">
        <v>1136</v>
      </c>
      <c r="D38" s="0" t="n">
        <v>496</v>
      </c>
      <c r="E38" s="0" t="n">
        <v>1135.1</v>
      </c>
      <c r="F38" s="0" t="n">
        <v>495.1</v>
      </c>
      <c r="G38" s="0" t="n">
        <v>18</v>
      </c>
      <c r="H38" s="0" t="s">
        <v>23</v>
      </c>
      <c r="I38" s="0" t="s">
        <v>66</v>
      </c>
      <c r="M38" s="0" t="s">
        <v>67</v>
      </c>
      <c r="N38" s="0" t="s">
        <v>26</v>
      </c>
      <c r="O38" s="0" t="s">
        <v>32</v>
      </c>
      <c r="P38" s="0" t="s">
        <v>28</v>
      </c>
      <c r="Q38" s="0" t="s">
        <v>30</v>
      </c>
      <c r="R38" s="0" t="s">
        <v>22</v>
      </c>
      <c r="S38" s="0" t="s">
        <v>22</v>
      </c>
      <c r="T38" s="0" t="s">
        <v>22</v>
      </c>
      <c r="U38" s="0" t="s">
        <v>22</v>
      </c>
      <c r="W38" s="0" t="n">
        <v>0</v>
      </c>
      <c r="X38" s="0" t="n">
        <v>3.264</v>
      </c>
    </row>
    <row r="39" customFormat="false" ht="14.4" hidden="false" customHeight="false" outlineLevel="0" collapsed="false">
      <c r="A39" s="3" t="n">
        <v>409</v>
      </c>
      <c r="B39" s="3" t="n">
        <v>4</v>
      </c>
      <c r="C39" s="3" t="n">
        <v>1136</v>
      </c>
      <c r="D39" s="3" t="n">
        <v>596</v>
      </c>
      <c r="E39" s="3" t="n">
        <v>1135.1</v>
      </c>
      <c r="F39" s="3" t="n">
        <v>595.1</v>
      </c>
      <c r="G39" s="3" t="n">
        <v>18</v>
      </c>
      <c r="H39" s="3" t="s">
        <v>23</v>
      </c>
      <c r="I39" s="3" t="s">
        <v>66</v>
      </c>
      <c r="J39" s="3"/>
      <c r="K39" s="3"/>
      <c r="L39" s="3"/>
      <c r="M39" s="3" t="s">
        <v>68</v>
      </c>
      <c r="N39" s="3" t="s">
        <v>26</v>
      </c>
      <c r="O39" s="3" t="s">
        <v>32</v>
      </c>
      <c r="P39" s="3" t="s">
        <v>28</v>
      </c>
      <c r="Q39" s="3" t="s">
        <v>30</v>
      </c>
      <c r="R39" s="3" t="s">
        <v>22</v>
      </c>
      <c r="S39" s="3" t="s">
        <v>22</v>
      </c>
      <c r="T39" s="3" t="s">
        <v>22</v>
      </c>
      <c r="U39" s="3" t="s">
        <v>22</v>
      </c>
      <c r="V39" s="3"/>
      <c r="W39" s="3" t="n">
        <v>0</v>
      </c>
      <c r="X39" s="3" t="n">
        <v>3.464</v>
      </c>
    </row>
    <row r="40" customFormat="false" ht="14.4" hidden="false" customHeight="false" outlineLevel="0" collapsed="false">
      <c r="A40" s="0" t="n">
        <v>37</v>
      </c>
      <c r="B40" s="0" t="n">
        <v>4</v>
      </c>
      <c r="C40" s="0" t="n">
        <v>478</v>
      </c>
      <c r="D40" s="0" t="n">
        <v>374.5</v>
      </c>
      <c r="E40" s="0" t="n">
        <v>477.1</v>
      </c>
      <c r="F40" s="0" t="n">
        <v>373.6</v>
      </c>
      <c r="G40" s="0" t="n">
        <v>18</v>
      </c>
      <c r="H40" s="0" t="s">
        <v>69</v>
      </c>
      <c r="I40" s="0" t="s">
        <v>66</v>
      </c>
      <c r="M40" s="0" t="s">
        <v>70</v>
      </c>
      <c r="N40" s="0" t="s">
        <v>26</v>
      </c>
      <c r="O40" s="0" t="s">
        <v>32</v>
      </c>
      <c r="P40" s="0" t="s">
        <v>28</v>
      </c>
      <c r="Q40" s="0" t="s">
        <v>30</v>
      </c>
      <c r="R40" s="0" t="s">
        <v>22</v>
      </c>
      <c r="S40" s="0" t="s">
        <v>22</v>
      </c>
      <c r="T40" s="0" t="s">
        <v>22</v>
      </c>
      <c r="U40" s="0" t="s">
        <v>22</v>
      </c>
      <c r="W40" s="0" t="n">
        <v>0</v>
      </c>
      <c r="X40" s="0" t="n">
        <v>1.705</v>
      </c>
    </row>
    <row r="41" customFormat="false" ht="14.4" hidden="false" customHeight="false" outlineLevel="0" collapsed="false">
      <c r="A41" s="3" t="n">
        <v>36</v>
      </c>
      <c r="B41" s="3" t="n">
        <v>4</v>
      </c>
      <c r="C41" s="3" t="n">
        <v>478</v>
      </c>
      <c r="D41" s="3" t="n">
        <v>188.5</v>
      </c>
      <c r="E41" s="3" t="n">
        <v>654</v>
      </c>
      <c r="F41" s="3" t="n">
        <v>187.6</v>
      </c>
      <c r="G41" s="3" t="n">
        <v>18</v>
      </c>
      <c r="H41" s="3" t="s">
        <v>69</v>
      </c>
      <c r="I41" s="3" t="s">
        <v>66</v>
      </c>
      <c r="J41" s="3"/>
      <c r="K41" s="3"/>
      <c r="L41" s="3"/>
      <c r="M41" s="3" t="s">
        <v>71</v>
      </c>
      <c r="N41" s="3" t="s">
        <v>26</v>
      </c>
      <c r="O41" s="3" t="s">
        <v>32</v>
      </c>
      <c r="P41" s="3" t="s">
        <v>28</v>
      </c>
      <c r="Q41" s="3" t="s">
        <v>30</v>
      </c>
      <c r="R41" s="3" t="s">
        <v>22</v>
      </c>
      <c r="S41" s="3" t="s">
        <v>22</v>
      </c>
      <c r="T41" s="3" t="s">
        <v>22</v>
      </c>
      <c r="U41" s="3" t="s">
        <v>22</v>
      </c>
      <c r="V41" s="3"/>
      <c r="W41" s="3" t="n">
        <v>0</v>
      </c>
      <c r="X41" s="3" t="n">
        <v>1.333</v>
      </c>
    </row>
    <row r="42" customFormat="false" ht="14.4" hidden="false" customHeight="false" outlineLevel="0" collapsed="false">
      <c r="A42" s="0" t="n">
        <v>4</v>
      </c>
      <c r="B42" s="0" t="n">
        <v>4</v>
      </c>
      <c r="C42" s="0" t="n">
        <v>478</v>
      </c>
      <c r="D42" s="0" t="n">
        <v>208.5</v>
      </c>
      <c r="E42" s="0" t="n">
        <v>321</v>
      </c>
      <c r="F42" s="0" t="n">
        <v>207.6</v>
      </c>
      <c r="G42" s="0" t="n">
        <v>18</v>
      </c>
      <c r="H42" s="0" t="s">
        <v>69</v>
      </c>
      <c r="I42" s="0" t="s">
        <v>66</v>
      </c>
      <c r="M42" s="0" t="s">
        <v>72</v>
      </c>
      <c r="N42" s="0" t="s">
        <v>26</v>
      </c>
      <c r="O42" s="0" t="s">
        <v>32</v>
      </c>
      <c r="P42" s="0" t="s">
        <v>28</v>
      </c>
      <c r="Q42" s="0" t="s">
        <v>30</v>
      </c>
      <c r="R42" s="0" t="s">
        <v>22</v>
      </c>
      <c r="S42" s="0" t="s">
        <v>22</v>
      </c>
      <c r="T42" s="0" t="s">
        <v>22</v>
      </c>
      <c r="U42" s="0" t="s">
        <v>22</v>
      </c>
      <c r="W42" s="0" t="n">
        <v>0</v>
      </c>
      <c r="X42" s="0" t="n">
        <v>1.373</v>
      </c>
    </row>
    <row r="43" customFormat="false" ht="14.4" hidden="false" customHeight="false" outlineLevel="0" collapsed="false">
      <c r="A43" s="3" t="n">
        <v>14</v>
      </c>
      <c r="B43" s="3" t="n">
        <v>4</v>
      </c>
      <c r="C43" s="3" t="n">
        <v>782.5</v>
      </c>
      <c r="D43" s="3" t="n">
        <v>578</v>
      </c>
      <c r="E43" s="3" t="n">
        <v>781.6</v>
      </c>
      <c r="F43" s="3" t="n">
        <v>577.1</v>
      </c>
      <c r="G43" s="3" t="n">
        <v>18</v>
      </c>
      <c r="H43" s="3" t="s">
        <v>23</v>
      </c>
      <c r="I43" s="3" t="s">
        <v>66</v>
      </c>
      <c r="J43" s="3"/>
      <c r="K43" s="3"/>
      <c r="L43" s="3"/>
      <c r="M43" s="3" t="s">
        <v>73</v>
      </c>
      <c r="N43" s="3" t="s">
        <v>26</v>
      </c>
      <c r="O43" s="3" t="s">
        <v>32</v>
      </c>
      <c r="P43" s="3" t="s">
        <v>28</v>
      </c>
      <c r="Q43" s="3" t="s">
        <v>30</v>
      </c>
      <c r="R43" s="3" t="s">
        <v>22</v>
      </c>
      <c r="S43" s="3" t="s">
        <v>22</v>
      </c>
      <c r="T43" s="3" t="s">
        <v>22</v>
      </c>
      <c r="U43" s="3" t="s">
        <v>22</v>
      </c>
      <c r="V43" s="3"/>
      <c r="W43" s="3" t="n">
        <v>0</v>
      </c>
      <c r="X43" s="3" t="n">
        <v>2.721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0234375" defaultRowHeight="14.4" zeroHeight="false" outlineLevelRow="0" outlineLevelCol="0"/>
  <cols>
    <col collapsed="false" customWidth="true" hidden="false" outlineLevel="0" max="1" min="1" style="4" width="6.01"/>
    <col collapsed="false" customWidth="true" hidden="false" outlineLevel="0" max="2" min="2" style="0" width="16"/>
    <col collapsed="false" customWidth="true" hidden="false" outlineLevel="0" max="3" min="3" style="0" width="32"/>
    <col collapsed="false" customWidth="true" hidden="false" outlineLevel="0" max="5" min="4" style="4" width="11.99"/>
    <col collapsed="false" customWidth="true" hidden="false" outlineLevel="0" max="6" min="6" style="5" width="16"/>
    <col collapsed="false" customWidth="true" hidden="false" outlineLevel="0" max="7" min="7" style="6" width="8"/>
    <col collapsed="false" customWidth="true" hidden="false" outlineLevel="0" max="8" min="8" style="5" width="16"/>
    <col collapsed="false" customWidth="true" hidden="false" outlineLevel="0" max="9" min="9" style="5" width="19.99"/>
  </cols>
  <sheetData>
    <row r="1" customFormat="false" ht="14.4" hidden="false" customHeight="false" outlineLevel="0" collapsed="false">
      <c r="A1" s="7"/>
      <c r="B1" s="7"/>
      <c r="C1" s="8"/>
      <c r="D1" s="8"/>
      <c r="E1" s="9" t="s">
        <v>74</v>
      </c>
      <c r="F1" s="9"/>
      <c r="G1" s="9"/>
      <c r="H1" s="10"/>
      <c r="I1" s="10"/>
    </row>
    <row r="2" customFormat="false" ht="14.4" hidden="false" customHeight="false" outlineLevel="0" collapsed="false">
      <c r="A2" s="7"/>
      <c r="B2" s="7"/>
      <c r="C2" s="8" t="s">
        <v>75</v>
      </c>
      <c r="D2" s="8"/>
      <c r="E2" s="11" t="s">
        <v>76</v>
      </c>
      <c r="F2" s="11"/>
      <c r="G2" s="11"/>
      <c r="H2" s="12" t="s">
        <v>77</v>
      </c>
      <c r="I2" s="12"/>
    </row>
    <row r="3" customFormat="false" ht="14.4" hidden="false" customHeight="false" outlineLevel="0" collapsed="false">
      <c r="A3" s="7"/>
      <c r="B3" s="7"/>
      <c r="C3" s="8" t="s">
        <v>78</v>
      </c>
      <c r="D3" s="8"/>
      <c r="E3" s="11" t="s">
        <v>79</v>
      </c>
      <c r="F3" s="11"/>
      <c r="G3" s="11"/>
      <c r="H3" s="12" t="s">
        <v>80</v>
      </c>
      <c r="I3" s="12"/>
    </row>
    <row r="4" customFormat="false" ht="14.4" hidden="false" customHeight="false" outlineLevel="0" collapsed="false">
      <c r="A4" s="7"/>
      <c r="B4" s="7"/>
      <c r="C4" s="8" t="s">
        <v>81</v>
      </c>
      <c r="D4" s="8"/>
      <c r="E4" s="11" t="s">
        <v>78</v>
      </c>
      <c r="F4" s="11"/>
      <c r="G4" s="11"/>
      <c r="H4" s="10"/>
      <c r="I4" s="10"/>
    </row>
    <row r="5" customFormat="false" ht="14.4" hidden="false" customHeight="false" outlineLevel="0" collapsed="false">
      <c r="A5" s="7"/>
      <c r="B5" s="7"/>
      <c r="C5" s="8" t="s">
        <v>82</v>
      </c>
      <c r="D5" s="8"/>
      <c r="E5" s="11" t="s">
        <v>83</v>
      </c>
      <c r="F5" s="11"/>
      <c r="G5" s="11"/>
      <c r="H5" s="10"/>
      <c r="I5" s="10"/>
    </row>
    <row r="6" customFormat="false" ht="14.4" hidden="false" customHeight="false" outlineLevel="0" collapsed="false">
      <c r="A6" s="7"/>
      <c r="B6" s="7"/>
      <c r="C6" s="7"/>
      <c r="D6" s="7"/>
      <c r="E6" s="7"/>
      <c r="F6" s="7"/>
      <c r="G6" s="7"/>
      <c r="H6" s="7"/>
      <c r="I6" s="7"/>
    </row>
    <row r="7" s="2" customFormat="true" ht="14.4" hidden="false" customHeight="false" outlineLevel="0" collapsed="false">
      <c r="A7" s="13" t="s">
        <v>84</v>
      </c>
      <c r="B7" s="1" t="s">
        <v>85</v>
      </c>
      <c r="C7" s="1" t="s">
        <v>86</v>
      </c>
      <c r="D7" s="13" t="s">
        <v>87</v>
      </c>
      <c r="E7" s="1" t="s">
        <v>88</v>
      </c>
      <c r="F7" s="14" t="s">
        <v>89</v>
      </c>
      <c r="G7" s="15" t="s">
        <v>90</v>
      </c>
      <c r="H7" s="14" t="s">
        <v>87</v>
      </c>
      <c r="I7" s="14" t="s">
        <v>91</v>
      </c>
    </row>
    <row r="8" s="19" customFormat="true" ht="14.4" hidden="false" customHeight="false" outlineLevel="0" collapsed="false">
      <c r="A8" s="16"/>
      <c r="B8" s="17" t="s">
        <v>92</v>
      </c>
      <c r="C8" s="17"/>
      <c r="D8" s="17"/>
      <c r="E8" s="17"/>
      <c r="F8" s="17"/>
      <c r="G8" s="17"/>
      <c r="H8" s="17"/>
      <c r="I8" s="18"/>
    </row>
    <row r="9" s="19" customFormat="true" ht="14.4" hidden="false" customHeight="false" outlineLevel="0" collapsed="false">
      <c r="A9" s="16"/>
      <c r="B9" s="17" t="s">
        <v>93</v>
      </c>
      <c r="C9" s="17"/>
      <c r="D9" s="17"/>
      <c r="E9" s="17"/>
      <c r="F9" s="17"/>
      <c r="G9" s="17"/>
      <c r="H9" s="17"/>
      <c r="I9" s="18"/>
    </row>
    <row r="10" s="19" customFormat="true" ht="14.4" hidden="false" customHeight="false" outlineLevel="0" collapsed="false">
      <c r="A10" s="16"/>
      <c r="B10" s="17" t="s">
        <v>94</v>
      </c>
      <c r="C10" s="17"/>
      <c r="D10" s="17"/>
      <c r="E10" s="17"/>
      <c r="F10" s="17"/>
      <c r="G10" s="17"/>
      <c r="H10" s="17"/>
      <c r="I10" s="18"/>
    </row>
    <row r="11" s="19" customFormat="true" ht="14.4" hidden="false" customHeight="false" outlineLevel="0" collapsed="false">
      <c r="A11" s="16"/>
      <c r="B11" s="17" t="s">
        <v>95</v>
      </c>
      <c r="C11" s="17"/>
      <c r="D11" s="17"/>
      <c r="E11" s="17"/>
      <c r="F11" s="17"/>
      <c r="G11" s="17"/>
      <c r="H11" s="17"/>
      <c r="I11" s="18" t="n">
        <f aca="false">SUM(H12:H13)</f>
        <v>0</v>
      </c>
    </row>
    <row r="12" customFormat="false" ht="14.4" hidden="false" customHeight="false" outlineLevel="0" collapsed="false">
      <c r="A12" s="4" t="n">
        <v>1</v>
      </c>
      <c r="B12" s="0" t="s">
        <v>96</v>
      </c>
      <c r="C12" s="0" t="s">
        <v>21</v>
      </c>
      <c r="D12" s="4" t="n">
        <v>21.1399</v>
      </c>
      <c r="E12" s="4" t="s">
        <v>97</v>
      </c>
      <c r="F12" s="5" t="n">
        <v>0</v>
      </c>
      <c r="G12" s="6" t="n">
        <v>1</v>
      </c>
      <c r="H12" s="5" t="n">
        <f aca="false">PRODUCT(D12,F12,G12)</f>
        <v>0</v>
      </c>
    </row>
    <row r="13" customFormat="false" ht="14.4" hidden="false" customHeight="false" outlineLevel="0" collapsed="false">
      <c r="A13" s="20" t="n">
        <v>2</v>
      </c>
      <c r="B13" s="3" t="s">
        <v>96</v>
      </c>
      <c r="C13" s="3" t="s">
        <v>22</v>
      </c>
      <c r="D13" s="20" t="n">
        <v>13.86</v>
      </c>
      <c r="E13" s="3" t="s">
        <v>97</v>
      </c>
      <c r="F13" s="21" t="n">
        <v>0</v>
      </c>
      <c r="G13" s="22" t="n">
        <v>1</v>
      </c>
      <c r="H13" s="21" t="n">
        <f aca="false">PRODUCT(D13,F13,G13)</f>
        <v>0</v>
      </c>
      <c r="I13" s="21"/>
    </row>
    <row r="14" s="19" customFormat="true" ht="14.4" hidden="false" customHeight="false" outlineLevel="0" collapsed="false">
      <c r="A14" s="16"/>
      <c r="B14" s="17" t="s">
        <v>98</v>
      </c>
      <c r="C14" s="17"/>
      <c r="D14" s="17"/>
      <c r="E14" s="17"/>
      <c r="F14" s="17"/>
      <c r="G14" s="17"/>
      <c r="H14" s="17"/>
      <c r="I14" s="18" t="n">
        <f aca="false">SUM(H15:H17)</f>
        <v>81914</v>
      </c>
    </row>
    <row r="15" customFormat="false" ht="14.4" hidden="false" customHeight="false" outlineLevel="0" collapsed="false">
      <c r="A15" s="4" t="n">
        <v>1</v>
      </c>
      <c r="B15" s="0" t="s">
        <v>99</v>
      </c>
      <c r="C15" s="0" t="s">
        <v>100</v>
      </c>
      <c r="D15" s="4" t="n">
        <v>2</v>
      </c>
      <c r="E15" s="4" t="s">
        <v>101</v>
      </c>
      <c r="F15" s="5" t="n">
        <v>35855</v>
      </c>
      <c r="G15" s="6" t="n">
        <v>1</v>
      </c>
      <c r="H15" s="5" t="n">
        <f aca="false">PRODUCT(D15,F15,G15)</f>
        <v>71710</v>
      </c>
    </row>
    <row r="16" customFormat="false" ht="14.4" hidden="false" customHeight="false" outlineLevel="0" collapsed="false">
      <c r="A16" s="20" t="n">
        <v>2</v>
      </c>
      <c r="B16" s="3" t="s">
        <v>99</v>
      </c>
      <c r="C16" s="3" t="s">
        <v>102</v>
      </c>
      <c r="D16" s="20" t="n">
        <v>1</v>
      </c>
      <c r="E16" s="3" t="s">
        <v>101</v>
      </c>
      <c r="F16" s="21" t="n">
        <v>0</v>
      </c>
      <c r="G16" s="22" t="n">
        <v>1</v>
      </c>
      <c r="H16" s="21" t="n">
        <f aca="false">PRODUCT(D16,F16,G16)</f>
        <v>0</v>
      </c>
      <c r="I16" s="21"/>
    </row>
    <row r="17" customFormat="false" ht="14.4" hidden="false" customHeight="false" outlineLevel="0" collapsed="false">
      <c r="A17" s="4" t="n">
        <v>3</v>
      </c>
      <c r="B17" s="0" t="s">
        <v>103</v>
      </c>
      <c r="C17" s="0" t="s">
        <v>104</v>
      </c>
      <c r="D17" s="4" t="n">
        <v>1</v>
      </c>
      <c r="E17" s="4" t="s">
        <v>101</v>
      </c>
      <c r="F17" s="5" t="n">
        <v>10204</v>
      </c>
      <c r="G17" s="6" t="n">
        <v>1</v>
      </c>
      <c r="H17" s="5" t="n">
        <f aca="false">PRODUCT(D17,F17,G17)</f>
        <v>10204</v>
      </c>
    </row>
    <row r="18" s="19" customFormat="true" ht="14.4" hidden="false" customHeight="false" outlineLevel="0" collapsed="false">
      <c r="A18" s="16"/>
      <c r="B18" s="17" t="s">
        <v>105</v>
      </c>
      <c r="C18" s="17"/>
      <c r="D18" s="17"/>
      <c r="E18" s="17"/>
      <c r="F18" s="17"/>
      <c r="G18" s="17"/>
      <c r="H18" s="17"/>
      <c r="I18" s="18" t="n">
        <f aca="false">SUM(H19:H19)</f>
        <v>0</v>
      </c>
    </row>
    <row r="19" customFormat="false" ht="14.4" hidden="false" customHeight="false" outlineLevel="0" collapsed="false">
      <c r="A19" s="4" t="n">
        <v>1</v>
      </c>
      <c r="B19" s="0" t="s">
        <v>106</v>
      </c>
      <c r="D19" s="4" t="n">
        <v>1</v>
      </c>
      <c r="F19" s="5" t="n">
        <v>0</v>
      </c>
      <c r="G19" s="6" t="n">
        <v>1</v>
      </c>
      <c r="H19" s="5" t="n">
        <f aca="false">PRODUCT(D19,F19,G19)</f>
        <v>0</v>
      </c>
    </row>
    <row r="20" s="2" customFormat="true" ht="14.4" hidden="false" customHeight="false" outlineLevel="0" collapsed="false">
      <c r="A20" s="13"/>
      <c r="B20" s="1" t="s">
        <v>107</v>
      </c>
      <c r="C20" s="1"/>
      <c r="D20" s="13"/>
      <c r="E20" s="1"/>
      <c r="F20" s="14"/>
      <c r="G20" s="15"/>
      <c r="H20" s="14"/>
      <c r="I20" s="14" t="n">
        <f aca="false">SUM(I8,I9,I10,I11,I14,I18)</f>
        <v>81914</v>
      </c>
    </row>
  </sheetData>
  <mergeCells count="27">
    <mergeCell ref="A1:B1"/>
    <mergeCell ref="C1:D1"/>
    <mergeCell ref="E1:G1"/>
    <mergeCell ref="H1:I1"/>
    <mergeCell ref="A2:B2"/>
    <mergeCell ref="C2:D2"/>
    <mergeCell ref="E2:G2"/>
    <mergeCell ref="H2:I2"/>
    <mergeCell ref="A3:B3"/>
    <mergeCell ref="C3:D3"/>
    <mergeCell ref="E3:G3"/>
    <mergeCell ref="H3:I3"/>
    <mergeCell ref="A4:B4"/>
    <mergeCell ref="C4:D4"/>
    <mergeCell ref="E4:G4"/>
    <mergeCell ref="H4:I4"/>
    <mergeCell ref="A5:B5"/>
    <mergeCell ref="C5:D5"/>
    <mergeCell ref="E5:G5"/>
    <mergeCell ref="H5:I5"/>
    <mergeCell ref="A6:I6"/>
    <mergeCell ref="B8:H8"/>
    <mergeCell ref="B9:H9"/>
    <mergeCell ref="B10:H10"/>
    <mergeCell ref="B11:H11"/>
    <mergeCell ref="B14:H14"/>
    <mergeCell ref="B18:H18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27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3.8" hidden="false" customHeight="false" outlineLevel="0" collapsed="false"/>
    <row r="2" customFormat="false" ht="13.8" hidden="false" customHeight="false" outlineLevel="0" collapsed="false"/>
    <row r="3" customFormat="false" ht="13.8" hidden="false" customHeight="false" outlineLevel="0" collapsed="false"/>
    <row r="4" customFormat="false" ht="13.8" hidden="false" customHeight="false" outlineLevel="0" collapsed="false"/>
    <row r="5" customFormat="false" ht="13.8" hidden="false" customHeight="false" outlineLevel="0" collapsed="false"/>
    <row r="6" customFormat="false" ht="13.8" hidden="false" customHeight="false" outlineLevel="0" collapsed="false"/>
    <row r="7" customFormat="false" ht="13.8" hidden="false" customHeight="false" outlineLevel="0" collapsed="false"/>
    <row r="8" customFormat="false" ht="13.8" hidden="false" customHeight="false" outlineLevel="0" collapsed="false"/>
    <row r="9" customFormat="false" ht="13.8" hidden="false" customHeight="false" outlineLevel="0" collapsed="false"/>
    <row r="10" customFormat="false" ht="13.8" hidden="false" customHeight="false" outlineLevel="0" collapsed="false"/>
    <row r="11" customFormat="false" ht="13.8" hidden="false" customHeight="false" outlineLevel="0" collapsed="false"/>
    <row r="12" customFormat="false" ht="13.8" hidden="false" customHeight="false" outlineLevel="0" collapsed="false"/>
    <row r="13" customFormat="false" ht="13.8" hidden="false" customHeight="false" outlineLevel="0" collapsed="false"/>
    <row r="14" customFormat="false" ht="13.8" hidden="false" customHeight="false" outlineLevel="0" collapsed="false"/>
    <row r="15" customFormat="false" ht="13.8" hidden="false" customHeight="false" outlineLevel="0" collapsed="false"/>
    <row r="16" customFormat="false" ht="13.8" hidden="false" customHeight="false" outlineLevel="0" collapsed="false"/>
    <row r="17" customFormat="false" ht="13.8" hidden="false" customHeight="false" outlineLevel="0" collapsed="false"/>
    <row r="18" customFormat="false" ht="13.8" hidden="false" customHeight="false" outlineLevel="0" collapsed="false"/>
    <row r="19" customFormat="false" ht="13.8" hidden="false" customHeight="false" outlineLevel="0" collapsed="false"/>
    <row r="20" customFormat="false" ht="13.8" hidden="false" customHeight="false" outlineLevel="0" collapsed="false"/>
    <row r="21" customFormat="false" ht="13.8" hidden="false" customHeight="false" outlineLevel="0" collapsed="false"/>
    <row r="22" customFormat="false" ht="13.8" hidden="false" customHeight="false" outlineLevel="0" collapsed="false"/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  <row r="27" customFormat="false" ht="13.8" hidden="false" customHeight="false" outlineLevel="0" collapsed="false"/>
    <row r="28" customFormat="false" ht="13.8" hidden="false" customHeight="false" outlineLevel="0" collapsed="false"/>
    <row r="29" customFormat="false" ht="13.8" hidden="false" customHeight="false" outlineLevel="0" collapsed="false"/>
    <row r="30" customFormat="false" ht="13.8" hidden="false" customHeight="false" outlineLevel="0" collapsed="false"/>
    <row r="31" customFormat="false" ht="13.8" hidden="false" customHeight="false" outlineLevel="0" collapsed="false"/>
    <row r="32" customFormat="false" ht="13.8" hidden="false" customHeight="false" outlineLevel="0" collapsed="false"/>
    <row r="33" customFormat="false" ht="13.8" hidden="false" customHeight="false" outlineLevel="0" collapsed="false"/>
    <row r="34" customFormat="false" ht="13.8" hidden="false" customHeight="false" outlineLevel="0" collapsed="false"/>
    <row r="35" customFormat="false" ht="13.8" hidden="false" customHeight="false" outlineLevel="0" collapsed="false"/>
    <row r="36" customFormat="false" ht="13.8" hidden="false" customHeight="false" outlineLevel="0" collapsed="false"/>
    <row r="37" customFormat="false" ht="13.8" hidden="false" customHeight="false" outlineLevel="0" collapsed="false"/>
    <row r="38" customFormat="false" ht="13.8" hidden="false" customHeight="false" outlineLevel="0" collapsed="false"/>
    <row r="39" customFormat="false" ht="13.8" hidden="false" customHeight="false" outlineLevel="0" collapsed="false"/>
    <row r="40" customFormat="false" ht="13.8" hidden="false" customHeight="false" outlineLevel="0" collapsed="false"/>
    <row r="41" customFormat="false" ht="13.8" hidden="false" customHeight="false" outlineLevel="0" collapsed="false"/>
    <row r="42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LibreOffice/7.1.3.2$Windows_X86_64 LibreOffice_project/47f78053abe362b9384784d31a6e56f8511eb1c1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2024-01-18T18:50:33Z</dcterms:created>
  <dc:creator/>
  <dc:description/>
  <dc:language>es-AR</dc:language>
  <cp:lastModifiedBy/>
  <dcterms:modified xsi:type="dcterms:W3CDTF">2024-01-19T19:54:18Z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